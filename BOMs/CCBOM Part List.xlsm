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drawings/drawing10.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traxxduesseldorf.sharepoint.com/230Sponsoring/Statics_Vorbereitung/2026/Cost Report/CCBOM Bauteile/"/>
    </mc:Choice>
  </mc:AlternateContent>
  <xr:revisionPtr revIDLastSave="6494" documentId="8_{A2494952-9EF2-43BD-B765-2BBDB7CE65B6}" xr6:coauthVersionLast="47" xr6:coauthVersionMax="47" xr10:uidLastSave="{77E0D7BA-77D8-4F36-911F-286ACCB868FA}"/>
  <bookViews>
    <workbookView xWindow="28680" yWindow="-4155" windowWidth="38640" windowHeight="21120" firstSheet="1" activeTab="1" xr2:uid="{00000000-000D-0000-FFFF-FFFF00000000}"/>
  </bookViews>
  <sheets>
    <sheet name="Central List" sheetId="13" r:id="rId1"/>
    <sheet name="Motor Base Mount" sheetId="30" r:id="rId2"/>
    <sheet name="TS-control Circuit board" sheetId="31" r:id="rId3"/>
    <sheet name="TSAL-LED circuit board" sheetId="32" r:id="rId4"/>
    <sheet name="Catch Can" sheetId="34" r:id="rId5"/>
    <sheet name="for duplication" sheetId="14" r:id="rId6"/>
    <sheet name="BACK-UP!" sheetId="7" r:id="rId7"/>
    <sheet name="Process list" sheetId="9" r:id="rId8"/>
    <sheet name="Mateial list" sheetId="8" r:id="rId9"/>
    <sheet name="Fastener list" sheetId="10" r:id="rId10"/>
    <sheet name="Tooling list" sheetId="12"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6" i="30" l="1"/>
  <c r="D56" i="30"/>
</calcChain>
</file>

<file path=xl/sharedStrings.xml><?xml version="1.0" encoding="utf-8"?>
<sst xmlns="http://schemas.openxmlformats.org/spreadsheetml/2006/main" count="1313" uniqueCount="612">
  <si>
    <t>Assembly</t>
  </si>
  <si>
    <t>Part Name</t>
  </si>
  <si>
    <t>Internal Link?</t>
  </si>
  <si>
    <t>External Links?</t>
  </si>
  <si>
    <t>Make or Buy?</t>
  </si>
  <si>
    <t>Worth today? (for FSCH)</t>
  </si>
  <si>
    <t>Quantity?</t>
  </si>
  <si>
    <t>Weight in kg</t>
  </si>
  <si>
    <t>Product life cycle (years)</t>
  </si>
  <si>
    <t>Storage costs?</t>
  </si>
  <si>
    <t>Total CO2e</t>
  </si>
  <si>
    <t>Total costs</t>
  </si>
  <si>
    <t>Link to Sheet</t>
  </si>
  <si>
    <t>Overflow Bottles</t>
  </si>
  <si>
    <t>Catch can</t>
  </si>
  <si>
    <t>02_05_CatchCan</t>
  </si>
  <si>
    <t>Make</t>
  </si>
  <si>
    <t>.</t>
  </si>
  <si>
    <t>Go to Sheet</t>
  </si>
  <si>
    <t>TSAL_TS Control</t>
  </si>
  <si>
    <t>TS-control Circuit board</t>
  </si>
  <si>
    <t>12.02.14_TS_Control</t>
  </si>
  <si>
    <t>--</t>
  </si>
  <si>
    <t>make</t>
  </si>
  <si>
    <t>TSAL_TSAL LED</t>
  </si>
  <si>
    <t>TSAL-LED circuit board</t>
  </si>
  <si>
    <t>Farbcodex</t>
  </si>
  <si>
    <t>duplication</t>
  </si>
  <si>
    <t>Nichrt Anfassen</t>
  </si>
  <si>
    <t>Kaum info vorhanden</t>
  </si>
  <si>
    <t xml:space="preserve">Mittelmäßig </t>
  </si>
  <si>
    <t>Fast Fertig</t>
  </si>
  <si>
    <t>Fertig</t>
  </si>
  <si>
    <t>System</t>
  </si>
  <si>
    <t>ET</t>
  </si>
  <si>
    <t>Assembly_Subassembly:</t>
  </si>
  <si>
    <t>Engine / Motors_Right Motor</t>
  </si>
  <si>
    <t>Mandatory data</t>
  </si>
  <si>
    <t>Part:</t>
  </si>
  <si>
    <t>Motor Base Mount</t>
  </si>
  <si>
    <t>Z:\026_eXXe26\02_Engine_and_Drivetrain\02_03_Engine</t>
  </si>
  <si>
    <t>Table status:</t>
  </si>
  <si>
    <t>MISSING: Core data (Rows C 3-12)</t>
  </si>
  <si>
    <t xml:space="preserve">Quantity? </t>
  </si>
  <si>
    <t>Weight in kg per Unit (Irrelvant if Buy)</t>
  </si>
  <si>
    <t>Product life cycle (in years)?</t>
  </si>
  <si>
    <t>Total CO2e(Irrelevant if Buy)</t>
  </si>
  <si>
    <t>Total costs per Unit</t>
  </si>
  <si>
    <t>Buy part</t>
  </si>
  <si>
    <t>Nein</t>
  </si>
  <si>
    <t>Vendor</t>
  </si>
  <si>
    <t>Adresse</t>
  </si>
  <si>
    <t>Link</t>
  </si>
  <si>
    <t>Is it available for the public?</t>
  </si>
  <si>
    <t>S 3.5.10 Only parts that can be bought from a catalog may be designated as “bought parts”. [otherwise it is a "make part"]</t>
  </si>
  <si>
    <t>costs for the public?</t>
  </si>
  <si>
    <t>Was the part modified?</t>
  </si>
  <si>
    <t>S 3.5.9 A modified bought part is considered a make part, where the bought part acts as the material. Associated “processes”, “tooling”, “fasteners” and “overhead” (if applicable) for the modifications must be included. However, the “carbon footprint” of the bought part itself should not be considered.</t>
  </si>
  <si>
    <t>Make part</t>
  </si>
  <si>
    <t>Are there any materials to mention?</t>
  </si>
  <si>
    <t>Ja</t>
  </si>
  <si>
    <t>What materials?</t>
  </si>
  <si>
    <t>https://metall-fachhandel.de/</t>
  </si>
  <si>
    <t>Subtype</t>
  </si>
  <si>
    <t>Aluminum</t>
  </si>
  <si>
    <t>Comments</t>
  </si>
  <si>
    <t>Aluminum primary 6082 190x150x30 2308.5gramm</t>
  </si>
  <si>
    <t>Quantity</t>
  </si>
  <si>
    <t>Costs (pr.piece)</t>
  </si>
  <si>
    <t>Comments (costs)</t>
  </si>
  <si>
    <t>Material + shipping</t>
  </si>
  <si>
    <t>Emissions  (pr.piece)</t>
  </si>
  <si>
    <t>Comments (emissions)</t>
  </si>
  <si>
    <t>Are there any processes to mention?</t>
  </si>
  <si>
    <t>What processes?</t>
  </si>
  <si>
    <t>https://gemini.google.com/share/61ee60beb118</t>
  </si>
  <si>
    <t>https://gemini.google.com/share/e65b6c36e699</t>
  </si>
  <si>
    <t>Machining setup</t>
  </si>
  <si>
    <t>Machining</t>
  </si>
  <si>
    <t>Assemble</t>
  </si>
  <si>
    <t>G-Code Programming and material insert</t>
  </si>
  <si>
    <t>10 Minutes of machining using DMC 50</t>
  </si>
  <si>
    <t>Hourly cost for a beginner machine and plant operator</t>
  </si>
  <si>
    <t>see Cost and Emissions Explenation File</t>
  </si>
  <si>
    <t>not relevant</t>
  </si>
  <si>
    <t>reguarding typical elctricity rate in düsseldorf</t>
  </si>
  <si>
    <t>Are there any toolings to mention?</t>
  </si>
  <si>
    <t>What tooling?</t>
  </si>
  <si>
    <t>Is there any overhead to mention?</t>
  </si>
  <si>
    <t>What overhead?</t>
  </si>
  <si>
    <t>Commute to Work</t>
  </si>
  <si>
    <t xml:space="preserve">Day of the machining </t>
  </si>
  <si>
    <t>Commute to Work is not covered</t>
  </si>
  <si>
    <t>avg. commute in Düsseldorf</t>
  </si>
  <si>
    <t>Are there any fasteners to mention?</t>
  </si>
  <si>
    <t>What fasteners?</t>
  </si>
  <si>
    <t>https://norelem.de/de/Produkt%C3%BCbersicht/Flexibles-Normteilesystem/07000/Muttern-Schrauben-Unterlegscheiben-Sicherungselemente/Zylinderschrauben-mit-Innensechskant-DIN-EN-ISO-4762-erweitert-Stahl-oder-Edelstahl/p/agid.32101</t>
  </si>
  <si>
    <t>https://norelem.de/de/Produkt%C3%BCbersicht/Flexibles-Normteilesystem/07000/Muttern-Schrauben-Unterlegscheiben-Sicherungselemente/Sechskantmuttern-mit-Polyamid-Klemmteil-niedrige-Form-DIN-985-erweitert/p/agid.18389</t>
  </si>
  <si>
    <t>Bolt</t>
  </si>
  <si>
    <t>Nut</t>
  </si>
  <si>
    <t>ISO 4762 M6x25 Bolts</t>
  </si>
  <si>
    <t>M6 DIN 985 locking nut</t>
  </si>
  <si>
    <t>M6</t>
  </si>
  <si>
    <t>S3.4.5f A self-manufactured “fastener” is considered a “part”, also Examples that are considered “parts” and not “fasteners”:
Tape used for edge protection, safety wire, ... Parts are to be described in a seperate document</t>
  </si>
  <si>
    <t>is there any thing else to be mentioned?</t>
  </si>
  <si>
    <t>What?</t>
  </si>
  <si>
    <t>Saved in Central List!</t>
  </si>
  <si>
    <t>3D Print</t>
  </si>
  <si>
    <t>20 min</t>
  </si>
  <si>
    <t>??</t>
  </si>
  <si>
    <t>Surface preperation</t>
  </si>
  <si>
    <t>Preparing</t>
  </si>
  <si>
    <t>Soldering</t>
  </si>
  <si>
    <t>Programming</t>
  </si>
  <si>
    <t>Additive Manufacturing</t>
  </si>
  <si>
    <t>Other</t>
  </si>
  <si>
    <t>free up space</t>
  </si>
  <si>
    <t>clean</t>
  </si>
  <si>
    <t>lay out tools</t>
  </si>
  <si>
    <t>prepare materials</t>
  </si>
  <si>
    <t>lötkolben</t>
  </si>
  <si>
    <t>lötofen</t>
  </si>
  <si>
    <t>3d printer</t>
  </si>
  <si>
    <t>3d print</t>
  </si>
  <si>
    <t>remove part + cleaning</t>
  </si>
  <si>
    <t>stencil</t>
  </si>
  <si>
    <t>bestücken</t>
  </si>
  <si>
    <t>5 min</t>
  </si>
  <si>
    <t>4.5 min</t>
  </si>
  <si>
    <t>11 min</t>
  </si>
  <si>
    <t>91 min</t>
  </si>
  <si>
    <t>70 min</t>
  </si>
  <si>
    <t>25 min</t>
  </si>
  <si>
    <t>beginner - time spent</t>
  </si>
  <si>
    <t>average</t>
  </si>
  <si>
    <t>commute</t>
  </si>
  <si>
    <t>powertool?</t>
  </si>
  <si>
    <t>electricity</t>
  </si>
  <si>
    <t>mats + elec</t>
  </si>
  <si>
    <t>make space</t>
  </si>
  <si>
    <t>tools</t>
  </si>
  <si>
    <t>get materials</t>
  </si>
  <si>
    <t>get meters</t>
  </si>
  <si>
    <t>ofen or kolben</t>
  </si>
  <si>
    <t>laptop</t>
  </si>
  <si>
    <t>10 min</t>
  </si>
  <si>
    <t>2 min</t>
  </si>
  <si>
    <t>15 min</t>
  </si>
  <si>
    <t>hausmeister</t>
  </si>
  <si>
    <t>azubi</t>
  </si>
  <si>
    <t>?</t>
  </si>
  <si>
    <t>Bought Part</t>
  </si>
  <si>
    <t>Beer can (Marke ?)</t>
  </si>
  <si>
    <t>Versieglung</t>
  </si>
  <si>
    <t>drinking of the beer</t>
  </si>
  <si>
    <t>Payment for Trainee Engineer</t>
  </si>
  <si>
    <t>Commuting to work</t>
  </si>
  <si>
    <t>Storage</t>
  </si>
  <si>
    <t>work days</t>
  </si>
  <si>
    <t>Not paid by the company</t>
  </si>
  <si>
    <t>see calculator</t>
  </si>
  <si>
    <t>Assembly:</t>
  </si>
  <si>
    <t>Cost for the public?</t>
  </si>
  <si>
    <t>Category</t>
  </si>
  <si>
    <t>Process</t>
  </si>
  <si>
    <t>German Translation</t>
  </si>
  <si>
    <t>Description</t>
  </si>
  <si>
    <t>Additive Fertigung</t>
  </si>
  <si>
    <t>Building 3D parts by depositing material layer by layer.</t>
  </si>
  <si>
    <t>Misc</t>
  </si>
  <si>
    <t>Adjustment - Misc.</t>
  </si>
  <si>
    <t>Einstellung - Sonstiges</t>
  </si>
  <si>
    <t>Manual calibration or fine-tuning of a component.</t>
  </si>
  <si>
    <t>Finishing</t>
  </si>
  <si>
    <t>Aerosol Apply</t>
  </si>
  <si>
    <t>Aerosol-Auftrag</t>
  </si>
  <si>
    <t>Applying coatings via spray or mist.</t>
  </si>
  <si>
    <t>Annodize</t>
  </si>
  <si>
    <t>Eloxieren</t>
  </si>
  <si>
    <t>An electrolytic process to increase the protective oxide layer on aluminum.</t>
  </si>
  <si>
    <t>Montieren</t>
  </si>
  <si>
    <t>The general process of joining components to form a final product.</t>
  </si>
  <si>
    <t>Wiring</t>
  </si>
  <si>
    <t>Attach Wire</t>
  </si>
  <si>
    <t>Draht befestigen</t>
  </si>
  <si>
    <t>Securing a wire to a terminal or specific location.</t>
  </si>
  <si>
    <t>Forming</t>
  </si>
  <si>
    <t>Bending</t>
  </si>
  <si>
    <t>Biegen</t>
  </si>
  <si>
    <t>Deforming material along a straight axis to a specific angle.</t>
  </si>
  <si>
    <t>Brake Bleed</t>
  </si>
  <si>
    <t>Bremsen entlüften</t>
  </si>
  <si>
    <t>Removing air bubbles from a hydraulic braking system.</t>
  </si>
  <si>
    <t>Braze</t>
  </si>
  <si>
    <t>Hartlöten</t>
  </si>
  <si>
    <t>Joining metals using a filler metal with a melting point above 450°C.</t>
  </si>
  <si>
    <t>Broach</t>
  </si>
  <si>
    <t>Räumen</t>
  </si>
  <si>
    <t>Using a toothed tool to remove material in a single stroke.</t>
  </si>
  <si>
    <t>Brush Apply</t>
  </si>
  <si>
    <t>Pinselauftrag</t>
  </si>
  <si>
    <t>Manual application of paint or coatings using a brush.</t>
  </si>
  <si>
    <t>Casting</t>
  </si>
  <si>
    <t>Gießen</t>
  </si>
  <si>
    <t>Pouring molten material into a mold to solidify into a specific shape.</t>
  </si>
  <si>
    <t>Coating</t>
  </si>
  <si>
    <t>Beschichten</t>
  </si>
  <si>
    <t>Applying a layer of material to a surface for protection or aesthetics.</t>
  </si>
  <si>
    <t>Connector Assembly</t>
  </si>
  <si>
    <t>Steckermontage</t>
  </si>
  <si>
    <t>The internal assembly of electrical or fluidic connectors.</t>
  </si>
  <si>
    <t>Connector Install</t>
  </si>
  <si>
    <t>Steckerinstallation</t>
  </si>
  <si>
    <t>Fitting a completed connector onto a wire harness or panel.</t>
  </si>
  <si>
    <t>Cure</t>
  </si>
  <si>
    <t>Aushärten</t>
  </si>
  <si>
    <t>Allowing a material (like resin or paint) to harden over time or heat.</t>
  </si>
  <si>
    <t>Cutting</t>
  </si>
  <si>
    <t>Cut (scissors; knife)</t>
  </si>
  <si>
    <t>Schneiden (Schere; Messer)</t>
  </si>
  <si>
    <t>Manual separation of thin materials using blades.</t>
  </si>
  <si>
    <t>Cutting (Manual)</t>
  </si>
  <si>
    <t>Manuelles Schneiden</t>
  </si>
  <si>
    <t>Separation of materials by hand without automated guidance.</t>
  </si>
  <si>
    <t>Cutting (Plotter)</t>
  </si>
  <si>
    <t>Plotterschneiden</t>
  </si>
  <si>
    <t>Automated cutting of thin sheets following a digital path.</t>
  </si>
  <si>
    <t>Drilled hole</t>
  </si>
  <si>
    <t>Bohrung</t>
  </si>
  <si>
    <t>Creating a cylindrical hole using a rotating cutting tool.</t>
  </si>
  <si>
    <t>EDM - Plunge</t>
  </si>
  <si>
    <t>Senkerodieren</t>
  </si>
  <si>
    <t>Using an electrode to erode material via electrical discharges in a fluid.</t>
  </si>
  <si>
    <t>EDM - Wire</t>
  </si>
  <si>
    <t>Drahterodieren</t>
  </si>
  <si>
    <t>Using a thin traveling wire to cut complex shapes through metal.</t>
  </si>
  <si>
    <t>Engine first start</t>
  </si>
  <si>
    <t>Motor-Erststart</t>
  </si>
  <si>
    <t>The procedure for the initial ignition and testing of an engine.</t>
  </si>
  <si>
    <t>Fastener install (every)</t>
  </si>
  <si>
    <t>Verbindungselement-Montage</t>
  </si>
  <si>
    <t>The act of installing bolts; screws; or clips.</t>
  </si>
  <si>
    <t>Gear Shaping (hobbing)</t>
  </si>
  <si>
    <t>Wälzfräsen</t>
  </si>
  <si>
    <t>A machining process for cutting gear teeth or splines.</t>
  </si>
  <si>
    <t>Grinding</t>
  </si>
  <si>
    <t>Schleifen</t>
  </si>
  <si>
    <t>Removing material using an abrasive wheel for high surface quality.</t>
  </si>
  <si>
    <t>Hand Finish</t>
  </si>
  <si>
    <t>Handnachbearbeitung</t>
  </si>
  <si>
    <t>Manual refining of a surface to remove burrs or imperfections.</t>
  </si>
  <si>
    <t>Heat Treatment</t>
  </si>
  <si>
    <t>Wärmebehandlung</t>
  </si>
  <si>
    <t>Controlled heating and cooling to alter material properties.</t>
  </si>
  <si>
    <t>Insert Bundle into Tube</t>
  </si>
  <si>
    <t>Kabelbündel einziehen</t>
  </si>
  <si>
    <t>Pulling a group of wires through a protective sleeve or conduit.</t>
  </si>
  <si>
    <t>Install Adhesive Clamp</t>
  </si>
  <si>
    <t>Klebeschlauchschelle montieren</t>
  </si>
  <si>
    <t>Securing cables using self-adhesive mounting brackets.</t>
  </si>
  <si>
    <t>Install Tie Wrap</t>
  </si>
  <si>
    <t>Kabelbinder montieren</t>
  </si>
  <si>
    <t>Securing wires or bundles using plastic or metal zip ties.</t>
  </si>
  <si>
    <t>Knurling</t>
  </si>
  <si>
    <t>Rändeln</t>
  </si>
  <si>
    <t>Creating a textured pattern on a surface to improve grip.</t>
  </si>
  <si>
    <t>Lace</t>
  </si>
  <si>
    <t>Abbinden</t>
  </si>
  <si>
    <t>The traditional method of binding wire bundles using cord or twine.</t>
  </si>
  <si>
    <t>Lamination</t>
  </si>
  <si>
    <t>Laminieren</t>
  </si>
  <si>
    <t>Bonding multiple layers of material together.</t>
  </si>
  <si>
    <t>Laser Cut</t>
  </si>
  <si>
    <t>Laserschneiden</t>
  </si>
  <si>
    <t>Using a high-power laser beam to melt or vaporize material.</t>
  </si>
  <si>
    <t>Liquid Applicator Gun</t>
  </si>
  <si>
    <t>Flüssigkeitsauftragspistole</t>
  </si>
  <si>
    <t>Using a specialized tool to apply sealants or adhesives.</t>
  </si>
  <si>
    <t>Zerspanung</t>
  </si>
  <si>
    <t>General term for removing material using various cutting tools.</t>
  </si>
  <si>
    <t>Maschineneinrichtung</t>
  </si>
  <si>
    <t>Preparing the machine tool and fixtures for a specific job.</t>
  </si>
  <si>
    <t>Mill - Form Cutter</t>
  </si>
  <si>
    <t>Formfräsen</t>
  </si>
  <si>
    <t>Milling using a tool shaped to a specific profile for complex contours.</t>
  </si>
  <si>
    <t>Non metall cutting</t>
  </si>
  <si>
    <t>Nichtmetall-Schneiden</t>
  </si>
  <si>
    <t>Processes specifically for cutting wood; plastics; or composites.</t>
  </si>
  <si>
    <t>Sonstiges</t>
  </si>
  <si>
    <t>Any manufacturing task not otherwise categorized.</t>
  </si>
  <si>
    <t>Painting</t>
  </si>
  <si>
    <t>Lackieren</t>
  </si>
  <si>
    <t>Applying liquid pigment to a surface for color or protection.</t>
  </si>
  <si>
    <t>Plasma Cutting</t>
  </si>
  <si>
    <t>Plasmaschneiden</t>
  </si>
  <si>
    <t>Using an accelerated jet of hot plasma to cut through conductive metals.</t>
  </si>
  <si>
    <t>Plastic injection molding</t>
  </si>
  <si>
    <t>Spritzgießen</t>
  </si>
  <si>
    <t>Injecting molten plastic into a mold cavity at high pressure.</t>
  </si>
  <si>
    <t>Potting</t>
  </si>
  <si>
    <t>Vergießen</t>
  </si>
  <si>
    <t>Encapsulating electronic components in a protective resin.</t>
  </si>
  <si>
    <t>Powder Metal Forming</t>
  </si>
  <si>
    <t>Pulvermetallurgie</t>
  </si>
  <si>
    <t>Compressing and sintering metal powders into solid components.</t>
  </si>
  <si>
    <t>Powdercoating</t>
  </si>
  <si>
    <t>Pulverbeschichtung</t>
  </si>
  <si>
    <t>Applying dry powder electrostatically and curing it with heat.</t>
  </si>
  <si>
    <t>Vorbereiten</t>
  </si>
  <si>
    <t>General preparation steps for a subsequent manufacturing task.</t>
  </si>
  <si>
    <t>Programmierung</t>
  </si>
  <si>
    <t>Writing or loading code for CNC machines or controllers.</t>
  </si>
  <si>
    <t>Rapid Prototype</t>
  </si>
  <si>
    <t>Schneller Prototypenbau</t>
  </si>
  <si>
    <t>Quick fabrication of a physical part for design validation.</t>
  </si>
  <si>
    <t>Reemed hole</t>
  </si>
  <si>
    <t>Geriebene Bohrung</t>
  </si>
  <si>
    <t>Finishing a hole to high precision and smoothness using a reamer.</t>
  </si>
  <si>
    <t>Resin Application</t>
  </si>
  <si>
    <t>Harzauftrag</t>
  </si>
  <si>
    <t>Applying liquid resin for bonding; sealing; or composite buildup.</t>
  </si>
  <si>
    <t>Riveting</t>
  </si>
  <si>
    <t>Nieten</t>
  </si>
  <si>
    <t>Joining parts by deforming a metal pin (rivet) through holes.</t>
  </si>
  <si>
    <t>Safety Wire (Install)</t>
  </si>
  <si>
    <t>Sicherungsdraht-Installation</t>
  </si>
  <si>
    <t>Using wire to prevent fasteners from loosening due to vibration.</t>
  </si>
  <si>
    <t>Sandblasting</t>
  </si>
  <si>
    <t>Sandstrahlen</t>
  </si>
  <si>
    <t>Cleaning or etching a surface by blasting it with abrasive media.</t>
  </si>
  <si>
    <t>Sewing</t>
  </si>
  <si>
    <t>Nähen</t>
  </si>
  <si>
    <t>Joining fabrics or flexible materials using thread and needle.</t>
  </si>
  <si>
    <t>Sheet metal process</t>
  </si>
  <si>
    <t>Blechbearbeitung</t>
  </si>
  <si>
    <t>General term for forming and manipulating metal sheets.</t>
  </si>
  <si>
    <t>Shrink Tube</t>
  </si>
  <si>
    <t>Schrumpfschlauch</t>
  </si>
  <si>
    <t>Applying heat-shrinkable tubing for insulation or protection.</t>
  </si>
  <si>
    <t>Shrinking</t>
  </si>
  <si>
    <t>Schrumpfen</t>
  </si>
  <si>
    <t>Reducing the size of a component; often via cooling or heat-shrink materials.</t>
  </si>
  <si>
    <t>Löten</t>
  </si>
  <si>
    <t>Joining electronic components using a low-melting-point alloy.</t>
  </si>
  <si>
    <t>Spinning (Metal)</t>
  </si>
  <si>
    <t>Drücken</t>
  </si>
  <si>
    <t>Forming a rotating metal disc over a mandrel into a hollow shape.</t>
  </si>
  <si>
    <t>Strip Multi-Conductor</t>
  </si>
  <si>
    <t>Mehradrige Leitung abmanteln</t>
  </si>
  <si>
    <t>Removing the outer jacket from a cable with multiple wires.</t>
  </si>
  <si>
    <t>Stripping</t>
  </si>
  <si>
    <t>Abisolieren</t>
  </si>
  <si>
    <t>Removing the insulation from the end of an individual wire.</t>
  </si>
  <si>
    <t>Oberflächenvorbehandlung</t>
  </si>
  <si>
    <t>Cleaning or treating a surface before coating or bonding.</t>
  </si>
  <si>
    <t>Suspension Setup</t>
  </si>
  <si>
    <t>Fahrwerkseinstellung</t>
  </si>
  <si>
    <t>Calibrating suspension geometry for performance or safety.</t>
  </si>
  <si>
    <t>Suspension Setup-Independent Susp. (per corner)</t>
  </si>
  <si>
    <t>Fahrwerkseinstellung - Einzelradaufhängung (pro Rad)</t>
  </si>
  <si>
    <t>Präzises Einstellen der Fahrwerksgeometrie (Spur; Sturz; Nachlauf) für eine einzelne Radaufhängung.</t>
  </si>
  <si>
    <t>Tape</t>
  </si>
  <si>
    <t>Abkleben</t>
  </si>
  <si>
    <t>Using adhesive tape for masking or light fastening.</t>
  </si>
  <si>
    <t>Tapping holes</t>
  </si>
  <si>
    <t>Gewindebohren</t>
  </si>
  <si>
    <t>Cutting internal threads into a pre-drilled hole.</t>
  </si>
  <si>
    <t>Threading</t>
  </si>
  <si>
    <t>Gewindeschneiden</t>
  </si>
  <si>
    <t>The process of creating external or internal screw threads.</t>
  </si>
  <si>
    <t>Tube process</t>
  </si>
  <si>
    <t>Rohrbearbeitung</t>
  </si>
  <si>
    <t>Operations involving bending; cutting; or flared ends on tubing.</t>
  </si>
  <si>
    <t>Vacuum Form</t>
  </si>
  <si>
    <t>Vakuumformen</t>
  </si>
  <si>
    <t>Heating a plastic sheet and pulling it over a mold using a vacuum.</t>
  </si>
  <si>
    <t>Waterjet Cut</t>
  </si>
  <si>
    <t>Wasserstrahlschneiden</t>
  </si>
  <si>
    <t>Using a high-pressure stream of water (often with abrasive) to cut material.</t>
  </si>
  <si>
    <t>Weld</t>
  </si>
  <si>
    <t>Schweißen</t>
  </si>
  <si>
    <t>Joining materials by melting and fusing the base metal with filler.</t>
  </si>
  <si>
    <t>Wire Dressing</t>
  </si>
  <si>
    <t>Kabelverlegung</t>
  </si>
  <si>
    <t>The neat routing and shaping of wires within an assembly.</t>
  </si>
  <si>
    <t>Wire Process</t>
  </si>
  <si>
    <t>Kabelkonfektionierung</t>
  </si>
  <si>
    <t>General preparation of wire including cutting; stripping; and crimping.</t>
  </si>
  <si>
    <t>Material</t>
  </si>
  <si>
    <t>Short Description</t>
  </si>
  <si>
    <t>Chemicals &amp; Adhesives</t>
  </si>
  <si>
    <t>2-component adhesive</t>
  </si>
  <si>
    <t>2-Komponenten-Klebstoff</t>
  </si>
  <si>
    <t>Two-part bonding agent consisting of resin and hardener.</t>
  </si>
  <si>
    <t>Manufacturing</t>
  </si>
  <si>
    <t>3D-Druck</t>
  </si>
  <si>
    <t>Object created through additive manufacturing processes.</t>
  </si>
  <si>
    <t>Adhesive</t>
  </si>
  <si>
    <t>Klebstoff</t>
  </si>
  <si>
    <t>General substance used for bonding surfaces together.</t>
  </si>
  <si>
    <t>Metals</t>
  </si>
  <si>
    <t>Aluminium</t>
  </si>
  <si>
    <t>Lightweight and corrosion-resistant non-ferrous metal.</t>
  </si>
  <si>
    <t>Composites &amp; Fibers</t>
  </si>
  <si>
    <t>Aramid (Kevlar) Fiber</t>
  </si>
  <si>
    <t>Aramidfaser (Kevlar)</t>
  </si>
  <si>
    <t>Heat-resistant and strong synthetic fibers.</t>
  </si>
  <si>
    <t>Basalt Fiber, 1 Ply</t>
  </si>
  <si>
    <t>Basaltfaser, 1-lagig</t>
  </si>
  <si>
    <t>Single layer of fiber made from extremely fine fibers of basalt.</t>
  </si>
  <si>
    <t>Brass</t>
  </si>
  <si>
    <t>Messing</t>
  </si>
  <si>
    <t>An alloy of copper and zinc.</t>
  </si>
  <si>
    <t>Bronze</t>
  </si>
  <si>
    <t>An alloy consisting primarily of copper and tin.</t>
  </si>
  <si>
    <t>Carbon Fiber, 1 Ply</t>
  </si>
  <si>
    <t>Kohlenstofffaser, 1-lagig</t>
  </si>
  <si>
    <t>Single layer of high-strength carbon reinforcement.</t>
  </si>
  <si>
    <t>Ceramic Matrix</t>
  </si>
  <si>
    <t>Keramikmatrix</t>
  </si>
  <si>
    <t>Composite material consisting of ceramic fibers embedded in a ceramic base.</t>
  </si>
  <si>
    <t>Composite, 1 Ply</t>
  </si>
  <si>
    <t>Verbundwerkstoff, 1-lagig</t>
  </si>
  <si>
    <t>General term for a single layer of reinforced material.</t>
  </si>
  <si>
    <t>Electronics</t>
  </si>
  <si>
    <t>Control Unit (bought)</t>
  </si>
  <si>
    <t>Steuergerät (gekauft)</t>
  </si>
  <si>
    <t>Purchased electronic module for system management.</t>
  </si>
  <si>
    <t>Control Unit (made)</t>
  </si>
  <si>
    <t>Steuergerät (hergestellt)</t>
  </si>
  <si>
    <t>In-house manufactured electronic module for system management.</t>
  </si>
  <si>
    <t>Copper</t>
  </si>
  <si>
    <t>Kupfer</t>
  </si>
  <si>
    <t>Soft and malleable metal with very high thermal and electrical conductivity.</t>
  </si>
  <si>
    <t>Natural Materials</t>
  </si>
  <si>
    <t>Cork</t>
  </si>
  <si>
    <t>Kork</t>
  </si>
  <si>
    <t>Buoyant and elastic material harvested from the cork oak tree.</t>
  </si>
  <si>
    <t>Electronic Component</t>
  </si>
  <si>
    <t>Elektronisches Bauteil</t>
  </si>
  <si>
    <t>Discrete device in an electronic system (e.g. resistor or capacitor).</t>
  </si>
  <si>
    <t>Flax Fiber, 1 Ply</t>
  </si>
  <si>
    <t>Flachsfaser, 1-lagig</t>
  </si>
  <si>
    <t>Single layer of natural fiber derived from the flax plant.</t>
  </si>
  <si>
    <t>Miscellaneous</t>
  </si>
  <si>
    <t>Fluid</t>
  </si>
  <si>
    <t>Flüssigkeit</t>
  </si>
  <si>
    <t>Any liquid substance used in the system (oil; coolant;  etc.).</t>
  </si>
  <si>
    <t>Glass Fiber, 1 Ply</t>
  </si>
  <si>
    <t>Glasfaser, 1-lagig</t>
  </si>
  <si>
    <t>Single layer of plastic reinforced by fine fibers of glass.</t>
  </si>
  <si>
    <t>Honeycomb</t>
  </si>
  <si>
    <t>Wabenstruktur</t>
  </si>
  <si>
    <t>Lightweight core material with a hexagonal structure.</t>
  </si>
  <si>
    <t>Inconel</t>
  </si>
  <si>
    <t>A family of austenite nickel-chromium-based superalloys.</t>
  </si>
  <si>
    <t>Iron</t>
  </si>
  <si>
    <t>Eisen</t>
  </si>
  <si>
    <t>Heavy magnetic metallic element.</t>
  </si>
  <si>
    <t>Leather</t>
  </si>
  <si>
    <t>Leder</t>
  </si>
  <si>
    <t>Durable and flexible material created by tanning animal rawhide.</t>
  </si>
  <si>
    <t>Magnesium</t>
  </si>
  <si>
    <t>Extremely lightweight structural metal.</t>
  </si>
  <si>
    <t>Magnet</t>
  </si>
  <si>
    <t>Material that produces a magnetic field.</t>
  </si>
  <si>
    <t>Components</t>
  </si>
  <si>
    <t>Motor (Non Tractive)</t>
  </si>
  <si>
    <t>Motor (nicht antreibend)</t>
  </si>
  <si>
    <t>Electric motor used for auxiliary functions rather than propulsion.</t>
  </si>
  <si>
    <t>Motor (Tractive AC)</t>
  </si>
  <si>
    <t>Fahrmotor (Wechselstrom)</t>
  </si>
  <si>
    <t>AC electric motor used for vehicle propulsion.</t>
  </si>
  <si>
    <t>Nickel</t>
  </si>
  <si>
    <t>Silvery-white lustrous metal often used in alloys.</t>
  </si>
  <si>
    <t>Polymers</t>
  </si>
  <si>
    <t>Plastic</t>
  </si>
  <si>
    <t>Kunststoff</t>
  </si>
  <si>
    <t>Synthetic or semi-synthetic organic compounds.</t>
  </si>
  <si>
    <t>Polypropylene</t>
  </si>
  <si>
    <t>Polypropylen</t>
  </si>
  <si>
    <t>A thermoplastic polymer used in a wide variety of applications.</t>
  </si>
  <si>
    <t>Hardware</t>
  </si>
  <si>
    <t>Rivet</t>
  </si>
  <si>
    <t>Niet</t>
  </si>
  <si>
    <t>A permanent mechanical fastener.</t>
  </si>
  <si>
    <t>Rohacell</t>
  </si>
  <si>
    <t>High-performance structural foam used as a core material.</t>
  </si>
  <si>
    <t>Rubber</t>
  </si>
  <si>
    <t>Gummi</t>
  </si>
  <si>
    <t>Elastic substance made from the latex of tropical plants or synthetically.</t>
  </si>
  <si>
    <t>Rubber hose</t>
  </si>
  <si>
    <t>Gummischlauch</t>
  </si>
  <si>
    <t>Flexible hollow tube designed to carry fluids.</t>
  </si>
  <si>
    <t>Safety wire</t>
  </si>
  <si>
    <t>Sicherungsschraubdraht</t>
  </si>
  <si>
    <t>Wire used to prevent fasteners from loosening due to vibration.</t>
  </si>
  <si>
    <t>Sensor Unit (Made)</t>
  </si>
  <si>
    <t>Sensoreinheit (hergestellt)</t>
  </si>
  <si>
    <t>In-house manufactured module for detecting physical inputs.</t>
  </si>
  <si>
    <t>Sensor Unit (bought)</t>
  </si>
  <si>
    <t>Sensoreinheit (gekauft)</t>
  </si>
  <si>
    <t>Purchased module for detecting physical inputs.</t>
  </si>
  <si>
    <t>Shrink tube</t>
  </si>
  <si>
    <t>Thermoplastic tube that shrinks when exposed to heat to insulate wires.</t>
  </si>
  <si>
    <t>Steel</t>
  </si>
  <si>
    <t>Stahl</t>
  </si>
  <si>
    <t>An alloy of iron and carbon.</t>
  </si>
  <si>
    <t>Strip wires</t>
  </si>
  <si>
    <t>Abisolierte Drähte</t>
  </si>
  <si>
    <t>Electrical wires with the insulation removed at the ends.</t>
  </si>
  <si>
    <t>Structural Foam</t>
  </si>
  <si>
    <t>Strukturschaum</t>
  </si>
  <si>
    <t>Plastic material with a cellular core and solid skin.</t>
  </si>
  <si>
    <t>Wheels &amp; Tires</t>
  </si>
  <si>
    <t>Tire</t>
  </si>
  <si>
    <t>Reifen</t>
  </si>
  <si>
    <t>Rubber covering for a wheel.</t>
  </si>
  <si>
    <t>Titanium</t>
  </si>
  <si>
    <t>Titan</t>
  </si>
  <si>
    <t>Strong; lightweight; and highly corrosion-resistant metal.</t>
  </si>
  <si>
    <t>Vaccum tape</t>
  </si>
  <si>
    <t>Vakuumdichtband</t>
  </si>
  <si>
    <t>Sealing tape used to create airtight seals in vacuum bagging.</t>
  </si>
  <si>
    <t>Vacuum foil</t>
  </si>
  <si>
    <t>Vakuumfolie</t>
  </si>
  <si>
    <t>A specialized film used for vacuum infusion or bagging.</t>
  </si>
  <si>
    <t>Wheel (complete)</t>
  </si>
  <si>
    <t>Rad (komplett)</t>
  </si>
  <si>
    <t>The entire assembly including rim and tire.</t>
  </si>
  <si>
    <t>Wheel Center</t>
  </si>
  <si>
    <t>Radstern</t>
  </si>
  <si>
    <t>The central part of a wheel that connects to the axle.</t>
  </si>
  <si>
    <t>Wheel Shells</t>
  </si>
  <si>
    <t>Felgenbetten</t>
  </si>
  <si>
    <t>The outer parts of a multi-piece wheel rim.</t>
  </si>
  <si>
    <t>Wheel Weights</t>
  </si>
  <si>
    <t>Auswuchtgewichte</t>
  </si>
  <si>
    <t>Small weights attached to a wheel to balance it.</t>
  </si>
  <si>
    <t>Wire</t>
  </si>
  <si>
    <t>Draht</t>
  </si>
  <si>
    <t>Single flexible metallic strand used to carry electricity.</t>
  </si>
  <si>
    <t>Wood</t>
  </si>
  <si>
    <t>Holz</t>
  </si>
  <si>
    <t>Fibrous structural tissue from trees.</t>
  </si>
  <si>
    <t>Zukaufteil</t>
  </si>
  <si>
    <t>Generic term for any component purchased from an external supplier.</t>
  </si>
  <si>
    <t>Any material not otherwise specified in the list.</t>
  </si>
  <si>
    <t>Fasteners</t>
  </si>
  <si>
    <t>Bolzen / Sechskantschraube</t>
  </si>
  <si>
    <t>Gewindebolzen zur Verbindung von Bauteilen in Kombination mit einer Mutter.</t>
  </si>
  <si>
    <t>Clevis</t>
  </si>
  <si>
    <t>Gabelkopf / Schäkel</t>
  </si>
  <si>
    <t>U-förmiges Befestigungselement; das mit einem Bolzen gesichert wird.</t>
  </si>
  <si>
    <t>Hose Clamp</t>
  </si>
  <si>
    <t>Schlauchschelle</t>
  </si>
  <si>
    <t>Metallring zur sicheren Befestigung eines Schlauchs auf einem Anschlussstutzen.</t>
  </si>
  <si>
    <t>Mutter</t>
  </si>
  <si>
    <t>Gegenstück zu einer Schraube oder einem Bolzen mit passendem Innengewinde.</t>
  </si>
  <si>
    <t>Plumping</t>
  </si>
  <si>
    <t>Verrohrungselemente</t>
  </si>
  <si>
    <t>Komponenten und Befestigungen für fluidische Systeme oder Rohrleitungen.</t>
  </si>
  <si>
    <t>Retaining Ring</t>
  </si>
  <si>
    <t>Sicherungsring</t>
  </si>
  <si>
    <t>Metallring zur axialen Sicherung von Bauteilen auf Wellen oder in Bohrungen.</t>
  </si>
  <si>
    <t>Screw</t>
  </si>
  <si>
    <t>Schraube</t>
  </si>
  <si>
    <t>Befestigungselement mit Außengewinde; das direkt in ein Material oder ein Gewinde gedreht wird.</t>
  </si>
  <si>
    <t>Snap</t>
  </si>
  <si>
    <t>Druckknopf / Schnappverschluss</t>
  </si>
  <si>
    <t>Verschluss; der durch Einrasten zweier korrespondierender Teile schließt.</t>
  </si>
  <si>
    <t>Straps</t>
  </si>
  <si>
    <t>Gurte / Haltebänder</t>
  </si>
  <si>
    <t>Flexible Bänder zur Bündelung; Fixierung oder Ladungssicherung.</t>
  </si>
  <si>
    <t>Klebeband</t>
  </si>
  <si>
    <t>Selbstklebendes Material zur temporären oder dauerhaften Fixierung und Abdichtung.</t>
  </si>
  <si>
    <t>Washer</t>
  </si>
  <si>
    <t>Unterlegscheibe</t>
  </si>
  <si>
    <t>Scheibe zur besseren Lastverteilung der Vorspannkraft unter einem Schraubenkopf oder einer Mutter.</t>
  </si>
  <si>
    <t>Zip Tie</t>
  </si>
  <si>
    <t>Kabelbinder</t>
  </si>
  <si>
    <t>Flexibler Kunststoffbinder zur schnellen Bündelung von Kabeln oder Bauteilen.</t>
  </si>
  <si>
    <t>Zip Tie Base</t>
  </si>
  <si>
    <t>Kabelbindersockel</t>
  </si>
  <si>
    <t>Halterung (oft selbstklebend); die als Ankerpunkt für Kabelbinder dient.</t>
  </si>
  <si>
    <t>Sonstiges (Befestigung)</t>
  </si>
  <si>
    <t>Sonstige mechanische Verbindungselemente; die nicht spezifisch aufgeführt sind.</t>
  </si>
  <si>
    <t>Tooling</t>
  </si>
  <si>
    <t>Braze Fixture</t>
  </si>
  <si>
    <t>Lötvorrichtung</t>
  </si>
  <si>
    <t>Spezialvorrichtung zum fixieren von Bauteilen während des Hartlötvorgangs.</t>
  </si>
  <si>
    <t>Gießen/Abgießen</t>
  </si>
  <si>
    <t>Herstellung von Bauteilen oder Werkzeugen durch das Gießen von flüssigem Material in eine Form.</t>
  </si>
  <si>
    <t>Injection Molding</t>
  </si>
  <si>
    <t>Werkzeug zur Herstellung von Kunststoffteilen durch Einspritzen von Schmelze unter Hochdruck.</t>
  </si>
  <si>
    <t>Lamination - Aluminum Tool</t>
  </si>
  <si>
    <t>Laminierwerkzeug - Aluminium</t>
  </si>
  <si>
    <t>Form aus Aluminium für das Schichten und Aushärten von Verbundwerkstoffen.</t>
  </si>
  <si>
    <t>Lamination - Composite Tool</t>
  </si>
  <si>
    <t>Laminierwerkzeug - Faserverbund</t>
  </si>
  <si>
    <t>Werkzeug aus Verbundmaterial; oft genutzt zur Vermeidung von Wärmeausdehnungskonflikten.</t>
  </si>
  <si>
    <t>Lamination - Steel Tool</t>
  </si>
  <si>
    <t>Laminierwerkzeug - Stahl</t>
  </si>
  <si>
    <t>Hochfeste Stahlform für die Serienfertigung oder Hochdruck-Laminierprozesse.</t>
  </si>
  <si>
    <t>Liquid Apply Tooling</t>
  </si>
  <si>
    <t>Werkzeug für Flüssigkeitsauftrag</t>
  </si>
  <si>
    <t>Spezielle Führungen oder Halterungen zum präzisen Auftragen von Klebstoffen oder Harzen.</t>
  </si>
  <si>
    <t>Welding Fixture</t>
  </si>
  <si>
    <t>Schweißvorrichtung</t>
  </si>
  <si>
    <t>Vorrichtung zum passgenauen Halten und Fixieren von Komponenten während des Schweißens.</t>
  </si>
  <si>
    <t>Sonstiges (Werkzeugbau)</t>
  </si>
  <si>
    <t>Sonstige spezialisierte Werkzeuge oder Vorrichtungen; die nicht separat aufgeführt sind.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</si>
</sst>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0.00\ &quot;€&quot;;[Red]\-#,##0.00\ &quot;€&quot;"/>
    <numFmt numFmtId="164" formatCode="#,##0.00\ &quot;€&quot;"/>
    <numFmt numFmtId="165" formatCode="_-* #,##0.00\ [$€-407]_-;\-* #,##0.00\ [$€-407]_-;_-* &quot;-&quot;??\ [$€-407]_-;_-@_-"/>
  </numFmts>
  <fonts count="14">
    <font>
      <sz val="11"/>
      <color theme="1"/>
      <name val="Calibri"/>
      <family val="2"/>
      <scheme val="minor"/>
    </font>
    <font>
      <sz val="16"/>
      <color theme="1"/>
      <name val="Calibri"/>
      <family val="2"/>
      <scheme val="minor"/>
    </font>
    <font>
      <b/>
      <sz val="20"/>
      <color theme="1"/>
      <name val="Calibri"/>
      <family val="2"/>
      <scheme val="minor"/>
    </font>
    <font>
      <sz val="14"/>
      <color theme="1"/>
      <name val="Calibri"/>
      <family val="2"/>
      <scheme val="minor"/>
    </font>
    <font>
      <b/>
      <sz val="11"/>
      <color rgb="FF000000"/>
      <name val="Calibri"/>
      <family val="2"/>
      <scheme val="minor"/>
    </font>
    <font>
      <sz val="11"/>
      <color rgb="FFFFFFFF"/>
      <name val="Calibri"/>
      <family val="2"/>
      <scheme val="minor"/>
    </font>
    <font>
      <sz val="11"/>
      <color rgb="FF000000"/>
      <name val="Arial"/>
      <scheme val="minor"/>
    </font>
    <font>
      <strike/>
      <sz val="14"/>
      <color theme="1"/>
      <name val="Calibri"/>
      <family val="2"/>
      <scheme val="minor"/>
    </font>
    <font>
      <u/>
      <sz val="11"/>
      <color theme="10"/>
      <name val="Calibri"/>
      <family val="2"/>
      <scheme val="minor"/>
    </font>
    <font>
      <strike/>
      <sz val="11"/>
      <color theme="1"/>
      <name val="Calibri"/>
      <family val="2"/>
      <scheme val="minor"/>
    </font>
    <font>
      <sz val="11"/>
      <color rgb="FF000000"/>
      <name val="Calibri"/>
      <charset val="1"/>
    </font>
    <font>
      <b/>
      <sz val="16"/>
      <color theme="1"/>
      <name val="Calibri"/>
      <family val="2"/>
      <scheme val="minor"/>
    </font>
    <font>
      <sz val="11"/>
      <color theme="0"/>
      <name val="Calibri"/>
      <family val="2"/>
      <scheme val="minor"/>
    </font>
    <font>
      <sz val="11"/>
      <color rgb="FF000000"/>
      <name val="Calibri"/>
      <scheme val="minor"/>
    </font>
  </fonts>
  <fills count="28">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FFABAB"/>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rgb="FF92D050"/>
        <bgColor indexed="64"/>
      </patternFill>
    </fill>
  </fills>
  <borders count="13">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theme="4" tint="0.39997558519241921"/>
      </top>
      <bottom style="thin">
        <color theme="4" tint="0.39997558519241921"/>
      </bottom>
      <diagonal/>
    </border>
  </borders>
  <cellStyleXfs count="2">
    <xf numFmtId="0" fontId="0" fillId="0" borderId="0"/>
    <xf numFmtId="0" fontId="8" fillId="0" borderId="0" applyNumberFormat="0" applyFill="0" applyBorder="0" applyAlignment="0" applyProtection="0"/>
  </cellStyleXfs>
  <cellXfs count="71">
    <xf numFmtId="0" fontId="0" fillId="0" borderId="0" xfId="0"/>
    <xf numFmtId="0" fontId="0" fillId="0" borderId="0" xfId="0" applyAlignment="1">
      <alignment horizontal="center" vertical="center"/>
    </xf>
    <xf numFmtId="0" fontId="0" fillId="6" borderId="0" xfId="0" applyFill="1"/>
    <xf numFmtId="0" fontId="0" fillId="7" borderId="0" xfId="0" applyFill="1"/>
    <xf numFmtId="0" fontId="0" fillId="8" borderId="0" xfId="0" applyFill="1"/>
    <xf numFmtId="0" fontId="0" fillId="2" borderId="0" xfId="0" applyFill="1"/>
    <xf numFmtId="0" fontId="0" fillId="0" borderId="3" xfId="0" applyBorder="1"/>
    <xf numFmtId="0" fontId="0" fillId="10" borderId="0" xfId="0" applyFill="1"/>
    <xf numFmtId="0" fontId="0" fillId="11" borderId="0" xfId="0" applyFill="1"/>
    <xf numFmtId="0" fontId="0" fillId="12" borderId="0" xfId="0" applyFill="1"/>
    <xf numFmtId="0" fontId="0" fillId="3" borderId="0" xfId="0" applyFill="1"/>
    <xf numFmtId="0" fontId="0" fillId="13" borderId="0" xfId="0" applyFill="1"/>
    <xf numFmtId="0" fontId="0" fillId="14" borderId="0" xfId="0" applyFill="1"/>
    <xf numFmtId="0" fontId="0" fillId="15" borderId="0" xfId="0" applyFill="1" applyAlignment="1">
      <alignment wrapText="1"/>
    </xf>
    <xf numFmtId="0" fontId="0" fillId="5" borderId="3" xfId="0" applyFill="1" applyBorder="1"/>
    <xf numFmtId="0" fontId="0" fillId="5" borderId="3" xfId="0" applyFill="1" applyBorder="1" applyAlignment="1">
      <alignment horizontal="left" vertical="center"/>
    </xf>
    <xf numFmtId="0" fontId="0" fillId="4" borderId="3" xfId="0" applyFill="1" applyBorder="1" applyAlignment="1">
      <alignment horizontal="center" vertical="center" wrapText="1"/>
    </xf>
    <xf numFmtId="0" fontId="0" fillId="9" borderId="3" xfId="0" applyFill="1" applyBorder="1" applyAlignment="1">
      <alignment wrapText="1"/>
    </xf>
    <xf numFmtId="0" fontId="0" fillId="16" borderId="3" xfId="0" applyFill="1" applyBorder="1"/>
    <xf numFmtId="0" fontId="0" fillId="17" borderId="3" xfId="0" applyFill="1" applyBorder="1"/>
    <xf numFmtId="0" fontId="0" fillId="8" borderId="3" xfId="0" applyFill="1" applyBorder="1"/>
    <xf numFmtId="0" fontId="0" fillId="17" borderId="0" xfId="0" applyFill="1" applyAlignment="1">
      <alignment horizontal="center" vertical="center"/>
    </xf>
    <xf numFmtId="0" fontId="1" fillId="14" borderId="1" xfId="0" applyFont="1" applyFill="1" applyBorder="1"/>
    <xf numFmtId="0" fontId="1" fillId="4" borderId="1" xfId="0" applyFont="1" applyFill="1" applyBorder="1"/>
    <xf numFmtId="0" fontId="1" fillId="3" borderId="2" xfId="0" applyFont="1" applyFill="1" applyBorder="1"/>
    <xf numFmtId="0" fontId="1" fillId="2" borderId="2" xfId="0" applyFont="1" applyFill="1" applyBorder="1"/>
    <xf numFmtId="0" fontId="1" fillId="0" borderId="0" xfId="0" applyFont="1"/>
    <xf numFmtId="0" fontId="1" fillId="18" borderId="0" xfId="0" applyFont="1" applyFill="1"/>
    <xf numFmtId="0" fontId="3" fillId="0" borderId="3" xfId="0" applyFont="1" applyBorder="1"/>
    <xf numFmtId="0" fontId="3" fillId="6" borderId="3" xfId="0" applyFont="1" applyFill="1" applyBorder="1"/>
    <xf numFmtId="0" fontId="2" fillId="0" borderId="0" xfId="0" applyFont="1"/>
    <xf numFmtId="0" fontId="1" fillId="19" borderId="4" xfId="0" applyFont="1" applyFill="1" applyBorder="1"/>
    <xf numFmtId="0" fontId="0" fillId="4" borderId="3" xfId="0" applyFill="1" applyBorder="1"/>
    <xf numFmtId="0" fontId="0" fillId="0" borderId="8" xfId="0" applyBorder="1" applyAlignment="1">
      <alignment vertical="center" wrapText="1"/>
    </xf>
    <xf numFmtId="0" fontId="0" fillId="0" borderId="0" xfId="0" applyAlignment="1">
      <alignment vertical="center" wrapText="1"/>
    </xf>
    <xf numFmtId="0" fontId="4" fillId="0" borderId="0" xfId="0" applyFont="1"/>
    <xf numFmtId="0" fontId="0" fillId="0" borderId="0" xfId="0" applyAlignment="1">
      <alignment wrapText="1"/>
    </xf>
    <xf numFmtId="0" fontId="6" fillId="0" borderId="0" xfId="0" applyFont="1" applyAlignment="1">
      <alignment wrapText="1"/>
    </xf>
    <xf numFmtId="0" fontId="0" fillId="0" borderId="9" xfId="0" applyBorder="1"/>
    <xf numFmtId="0" fontId="0" fillId="0" borderId="1" xfId="0" applyBorder="1"/>
    <xf numFmtId="0" fontId="0" fillId="0" borderId="10" xfId="0" applyBorder="1"/>
    <xf numFmtId="0" fontId="0" fillId="0" borderId="11" xfId="0" applyBorder="1"/>
    <xf numFmtId="0" fontId="5" fillId="20" borderId="1" xfId="0" applyFont="1" applyFill="1" applyBorder="1"/>
    <xf numFmtId="0" fontId="7" fillId="6" borderId="3" xfId="0" applyFont="1" applyFill="1" applyBorder="1"/>
    <xf numFmtId="0" fontId="8" fillId="0" borderId="0" xfId="1" applyNumberFormat="1"/>
    <xf numFmtId="164" fontId="0" fillId="0" borderId="3" xfId="0" applyNumberFormat="1" applyBorder="1"/>
    <xf numFmtId="0" fontId="9" fillId="0" borderId="0" xfId="0" applyFont="1"/>
    <xf numFmtId="49" fontId="0" fillId="0" borderId="0" xfId="0" applyNumberFormat="1"/>
    <xf numFmtId="0" fontId="10" fillId="0" borderId="0" xfId="0" applyFont="1"/>
    <xf numFmtId="165" fontId="3" fillId="0" borderId="3" xfId="0" applyNumberFormat="1" applyFont="1" applyBorder="1"/>
    <xf numFmtId="0" fontId="0" fillId="21" borderId="0" xfId="0" applyFill="1"/>
    <xf numFmtId="0" fontId="11" fillId="0" borderId="0" xfId="0" applyFont="1"/>
    <xf numFmtId="0" fontId="0" fillId="20" borderId="0" xfId="0" applyFill="1"/>
    <xf numFmtId="0" fontId="0" fillId="22" borderId="0" xfId="0" applyFill="1"/>
    <xf numFmtId="0" fontId="0" fillId="23" borderId="0" xfId="0" applyFill="1"/>
    <xf numFmtId="0" fontId="0" fillId="24" borderId="0" xfId="0" applyFill="1"/>
    <xf numFmtId="0" fontId="12" fillId="25" borderId="0" xfId="0" applyFont="1" applyFill="1"/>
    <xf numFmtId="0" fontId="8" fillId="0" borderId="0" xfId="1"/>
    <xf numFmtId="0" fontId="5" fillId="27" borderId="1" xfId="0" applyFont="1" applyFill="1" applyBorder="1"/>
    <xf numFmtId="0" fontId="8" fillId="0" borderId="3" xfId="1" applyBorder="1"/>
    <xf numFmtId="8" fontId="0" fillId="0" borderId="3" xfId="0" applyNumberFormat="1" applyBorder="1"/>
    <xf numFmtId="0" fontId="13" fillId="0" borderId="3" xfId="1" applyFont="1" applyBorder="1"/>
    <xf numFmtId="0" fontId="0" fillId="26" borderId="0" xfId="0" applyFill="1" applyAlignment="1">
      <alignment wrapText="1"/>
    </xf>
    <xf numFmtId="0" fontId="0" fillId="0" borderId="12" xfId="0" applyBorder="1" applyAlignment="1">
      <alignment wrapText="1"/>
    </xf>
    <xf numFmtId="165" fontId="0" fillId="0" borderId="3" xfId="0" applyNumberFormat="1" applyBorder="1"/>
    <xf numFmtId="0" fontId="0" fillId="15" borderId="3" xfId="0" applyFill="1" applyBorder="1"/>
    <xf numFmtId="165" fontId="0" fillId="15" borderId="3" xfId="0" applyNumberFormat="1" applyFill="1" applyBorder="1"/>
    <xf numFmtId="0" fontId="2" fillId="19" borderId="5" xfId="0" applyFont="1" applyFill="1" applyBorder="1" applyAlignment="1">
      <alignment horizontal="center"/>
    </xf>
    <xf numFmtId="0" fontId="2" fillId="19" borderId="6" xfId="0" applyFont="1" applyFill="1" applyBorder="1" applyAlignment="1">
      <alignment horizontal="center"/>
    </xf>
    <xf numFmtId="0" fontId="2" fillId="19" borderId="7" xfId="0" applyFont="1" applyFill="1" applyBorder="1" applyAlignment="1">
      <alignment horizontal="center"/>
    </xf>
    <xf numFmtId="0" fontId="0" fillId="4" borderId="3" xfId="0" applyFill="1" applyBorder="1" applyAlignment="1">
      <alignment horizontal="center"/>
    </xf>
  </cellXfs>
  <cellStyles count="2">
    <cellStyle name="Link" xfId="1" builtinId="8"/>
    <cellStyle name="Standard" xfId="0" builtinId="0"/>
  </cellStyles>
  <dxfs count="56">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color rgb="FF000000"/>
        <name val="Arial"/>
        <scheme val="minor"/>
      </font>
      <alignment wrapText="1"/>
    </dxf>
    <dxf>
      <font>
        <color rgb="FF000000"/>
        <name val="Arial"/>
        <scheme val="minor"/>
      </font>
      <alignment wrapText="1"/>
    </dxf>
    <dxf>
      <font>
        <color rgb="FF000000"/>
        <name val="Arial"/>
        <scheme val="minor"/>
      </font>
      <alignment wrapText="1"/>
    </dxf>
    <dxf>
      <font>
        <color rgb="FF000000"/>
        <name val="Arial"/>
        <scheme val="minor"/>
      </font>
      <alignment wrapText="1"/>
    </dxf>
    <dxf>
      <font>
        <color rgb="FF000000"/>
        <name val="Arial"/>
        <scheme val="minor"/>
      </font>
      <alignment wrapText="1"/>
    </dxf>
    <dxf>
      <font>
        <color rgb="FF9C0006"/>
      </font>
      <fill>
        <patternFill>
          <bgColor rgb="FFFFC7CE"/>
        </patternFill>
      </fill>
    </dxf>
    <dxf>
      <font>
        <color rgb="FF9C0006"/>
      </font>
      <fill>
        <patternFill patternType="solid">
          <bgColor rgb="FFCB87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E0B8FF"/>
        </patternFill>
      </fill>
      <border>
        <bottom style="thin">
          <color rgb="FF000000"/>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30" formatCode="@"/>
    </dxf>
    <dxf>
      <font>
        <color rgb="FF9C0006"/>
      </font>
      <fill>
        <patternFill>
          <bgColor rgb="FFFFC7CE"/>
        </patternFill>
      </fill>
    </dxf>
  </dxfs>
  <tableStyles count="0" defaultTableStyle="TableStyleMedium2" defaultPivotStyle="PivotStyleMedium9"/>
  <colors>
    <mruColors>
      <color rgb="FFFFABAB"/>
      <color rgb="FFA45CDB"/>
      <color rgb="FFCB87FF"/>
      <color rgb="FFE0B8FF"/>
      <color rgb="FFEFDBFF"/>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1590675</xdr:colOff>
      <xdr:row>4</xdr:row>
      <xdr:rowOff>219075</xdr:rowOff>
    </xdr:from>
    <xdr:to>
      <xdr:col>4</xdr:col>
      <xdr:colOff>825500</xdr:colOff>
      <xdr:row>6</xdr:row>
      <xdr:rowOff>53975</xdr:rowOff>
    </xdr:to>
    <xdr:sp macro="" textlink="">
      <xdr:nvSpPr>
        <xdr:cNvPr id="2" name="Rounded Rectangle 3">
          <a:extLst>
            <a:ext uri="{FF2B5EF4-FFF2-40B4-BE49-F238E27FC236}">
              <a16:creationId xmlns:a16="http://schemas.microsoft.com/office/drawing/2014/main" id="{97E0B93E-967F-4983-8B02-73B175B5F0BF}"/>
            </a:ext>
            <a:ext uri="{147F2762-F138-4A5C-976F-8EAC2B608ADB}">
              <a16:predDERef xmlns:a16="http://schemas.microsoft.com/office/drawing/2014/main" pred="{B49953DA-BE2D-4E12-A723-CA4E0877EB57}"/>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BYWZ3bjIwY1c5U0tWUEVIdlQ4NEhIQVgwQTBGRlc0bWJGQi1xMm44aW01Q0U&quot;}"/>
            </a:ext>
          </a:extLst>
        </xdr:cNvPr>
        <xdr:cNvSpPr/>
      </xdr:nvSpPr>
      <xdr:spPr>
        <a:xfrm>
          <a:off x="7286625" y="1285875"/>
          <a:ext cx="1358900" cy="292100"/>
        </a:xfrm>
        <a:prstGeom prst="roundRect">
          <a:avLst/>
        </a:prstGeom>
        <a:ln/>
      </xdr:spPr>
      <xdr:style>
        <a:lnRef idx="0">
          <a:schemeClr val="accent6"/>
        </a:lnRef>
        <a:fillRef idx="3">
          <a:schemeClr val="accent6"/>
        </a:fillRef>
        <a:effectRef idx="3">
          <a:schemeClr val="accent6"/>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100">
              <a:solidFill>
                <a:schemeClr val="lt1"/>
              </a:solidFill>
              <a:latin typeface="+mn-lt"/>
              <a:ea typeface="+mn-lt"/>
              <a:cs typeface="+mn-lt"/>
            </a:rPr>
            <a:t>Run Table</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Check</a:t>
          </a:r>
        </a:p>
      </xdr:txBody>
    </xdr:sp>
    <xdr:clientData/>
  </xdr:twoCellAnchor>
  <xdr:twoCellAnchor>
    <xdr:from>
      <xdr:col>3</xdr:col>
      <xdr:colOff>495300</xdr:colOff>
      <xdr:row>6</xdr:row>
      <xdr:rowOff>209550</xdr:rowOff>
    </xdr:from>
    <xdr:to>
      <xdr:col>4</xdr:col>
      <xdr:colOff>962025</xdr:colOff>
      <xdr:row>12</xdr:row>
      <xdr:rowOff>85725</xdr:rowOff>
    </xdr:to>
    <xdr:sp macro="" textlink="">
      <xdr:nvSpPr>
        <xdr:cNvPr id="3" name="Rounded Rectangular Callout 4">
          <a:extLst>
            <a:ext uri="{FF2B5EF4-FFF2-40B4-BE49-F238E27FC236}">
              <a16:creationId xmlns:a16="http://schemas.microsoft.com/office/drawing/2014/main" id="{E67EBC56-5540-4E2B-BBC3-E3576BA9E8D0}"/>
            </a:ext>
            <a:ext uri="{147F2762-F138-4A5C-976F-8EAC2B608ADB}">
              <a16:predDERef xmlns:a16="http://schemas.microsoft.com/office/drawing/2014/main" pred="{97E0B93E-967F-4983-8B02-73B175B5F0BF}"/>
            </a:ext>
          </a:extLst>
        </xdr:cNvPr>
        <xdr:cNvSpPr/>
      </xdr:nvSpPr>
      <xdr:spPr>
        <a:xfrm>
          <a:off x="6191250" y="17335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time new information is added</a:t>
          </a:r>
        </a:p>
      </xdr:txBody>
    </xdr:sp>
    <xdr:clientData/>
  </xdr:twoCellAnchor>
  <xdr:twoCellAnchor>
    <xdr:from>
      <xdr:col>4</xdr:col>
      <xdr:colOff>876300</xdr:colOff>
      <xdr:row>5</xdr:row>
      <xdr:rowOff>66675</xdr:rowOff>
    </xdr:from>
    <xdr:to>
      <xdr:col>4</xdr:col>
      <xdr:colOff>1362075</xdr:colOff>
      <xdr:row>9</xdr:row>
      <xdr:rowOff>85725</xdr:rowOff>
    </xdr:to>
    <xdr:sp macro="" textlink="">
      <xdr:nvSpPr>
        <xdr:cNvPr id="4" name="Curved Right Arrow 5">
          <a:extLst>
            <a:ext uri="{FF2B5EF4-FFF2-40B4-BE49-F238E27FC236}">
              <a16:creationId xmlns:a16="http://schemas.microsoft.com/office/drawing/2014/main" id="{C2695203-1711-4788-8D40-8264CE48FCD9}"/>
            </a:ext>
            <a:ext uri="{147F2762-F138-4A5C-976F-8EAC2B608ADB}">
              <a16:predDERef xmlns:a16="http://schemas.microsoft.com/office/drawing/2014/main" pred="{E67EBC56-5540-4E2B-BBC3-E3576BA9E8D0}"/>
            </a:ext>
          </a:extLst>
        </xdr:cNvPr>
        <xdr:cNvSpPr/>
      </xdr:nvSpPr>
      <xdr:spPr>
        <a:xfrm rot="10549211">
          <a:off x="8696325" y="1362075"/>
          <a:ext cx="485775" cy="914400"/>
        </a:xfrm>
        <a:prstGeom prst="curv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solidFill>
              <a:schemeClr val="tx1"/>
            </a:solidFill>
          </a:endParaRPr>
        </a:p>
      </xdr:txBody>
    </xdr:sp>
    <xdr:clientData/>
  </xdr:twoCellAnchor>
  <xdr:twoCellAnchor>
    <xdr:from>
      <xdr:col>3</xdr:col>
      <xdr:colOff>1343025</xdr:colOff>
      <xdr:row>3</xdr:row>
      <xdr:rowOff>47625</xdr:rowOff>
    </xdr:from>
    <xdr:to>
      <xdr:col>4</xdr:col>
      <xdr:colOff>1085850</xdr:colOff>
      <xdr:row>4</xdr:row>
      <xdr:rowOff>111125</xdr:rowOff>
    </xdr:to>
    <xdr:sp macro="" textlink="">
      <xdr:nvSpPr>
        <xdr:cNvPr id="5" name="Rounded Rectangle 1">
          <a:extLst>
            <a:ext uri="{FF2B5EF4-FFF2-40B4-BE49-F238E27FC236}">
              <a16:creationId xmlns:a16="http://schemas.microsoft.com/office/drawing/2014/main" id="{3BA9B608-4776-40D7-A09C-E5865E3E8450}"/>
            </a:ext>
            <a:ext uri="{147F2762-F138-4A5C-976F-8EAC2B608ADB}">
              <a16:predDERef xmlns:a16="http://schemas.microsoft.com/office/drawing/2014/main" pred="{C2695203-1711-4788-8D40-8264CE48FCD9}"/>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EY0JvZE5QYnZIUVlCaFN5RnFGMElyQVotWDhKd3dBanFQTlBMVnB2bmJsZkU&quot;}"/>
            </a:ext>
          </a:extLst>
        </xdr:cNvPr>
        <xdr:cNvSpPr/>
      </xdr:nvSpPr>
      <xdr:spPr>
        <a:xfrm>
          <a:off x="7038975" y="885825"/>
          <a:ext cx="1866900" cy="29210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a:t>Run Add to Central List</a:t>
          </a:r>
        </a:p>
      </xdr:txBody>
    </xdr:sp>
    <xdr:clientData/>
  </xdr:twoCellAnchor>
  <xdr:twoCellAnchor>
    <xdr:from>
      <xdr:col>6</xdr:col>
      <xdr:colOff>209550</xdr:colOff>
      <xdr:row>1</xdr:row>
      <xdr:rowOff>57150</xdr:rowOff>
    </xdr:from>
    <xdr:to>
      <xdr:col>8</xdr:col>
      <xdr:colOff>133350</xdr:colOff>
      <xdr:row>6</xdr:row>
      <xdr:rowOff>66675</xdr:rowOff>
    </xdr:to>
    <xdr:sp macro="" textlink="">
      <xdr:nvSpPr>
        <xdr:cNvPr id="6" name="Rounded Rectangular Callout 2">
          <a:extLst>
            <a:ext uri="{FF2B5EF4-FFF2-40B4-BE49-F238E27FC236}">
              <a16:creationId xmlns:a16="http://schemas.microsoft.com/office/drawing/2014/main" id="{FD394C31-784A-4A66-A53D-F1217493CA36}"/>
            </a:ext>
            <a:ext uri="{147F2762-F138-4A5C-976F-8EAC2B608ADB}">
              <a16:predDERef xmlns:a16="http://schemas.microsoft.com/office/drawing/2014/main" pred="{3BA9B608-4776-40D7-A09C-E5865E3E8450}"/>
            </a:ext>
          </a:extLst>
        </xdr:cNvPr>
        <xdr:cNvSpPr/>
      </xdr:nvSpPr>
      <xdr:spPr>
        <a:xfrm>
          <a:off x="11963400" y="3238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once you're done editing the table</a:t>
          </a:r>
        </a:p>
      </xdr:txBody>
    </xdr:sp>
    <xdr:clientData/>
  </xdr:twoCellAnchor>
  <xdr:twoCellAnchor>
    <xdr:from>
      <xdr:col>6</xdr:col>
      <xdr:colOff>542925</xdr:colOff>
      <xdr:row>7</xdr:row>
      <xdr:rowOff>38100</xdr:rowOff>
    </xdr:from>
    <xdr:to>
      <xdr:col>8</xdr:col>
      <xdr:colOff>466725</xdr:colOff>
      <xdr:row>12</xdr:row>
      <xdr:rowOff>142875</xdr:rowOff>
    </xdr:to>
    <xdr:sp macro="" textlink="">
      <xdr:nvSpPr>
        <xdr:cNvPr id="7" name="Rounded Rectangular Callout 6">
          <a:extLst>
            <a:ext uri="{FF2B5EF4-FFF2-40B4-BE49-F238E27FC236}">
              <a16:creationId xmlns:a16="http://schemas.microsoft.com/office/drawing/2014/main" id="{D77F776B-9259-4649-9549-A2DC6E331241}"/>
            </a:ext>
            <a:ext uri="{147F2762-F138-4A5C-976F-8EAC2B608ADB}">
              <a16:predDERef xmlns:a16="http://schemas.microsoft.com/office/drawing/2014/main" pred="{FD394C31-784A-4A66-A53D-F1217493CA36}"/>
            </a:ext>
          </a:extLst>
        </xdr:cNvPr>
        <xdr:cNvSpPr/>
      </xdr:nvSpPr>
      <xdr:spPr>
        <a:xfrm>
          <a:off x="12296775" y="179070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4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The script will replace the previous information in the central list if the part name is identical</a:t>
          </a:r>
        </a:p>
      </xdr:txBody>
    </xdr:sp>
    <xdr:clientData/>
  </xdr:twoCellAnchor>
  <xdr:twoCellAnchor>
    <xdr:from>
      <xdr:col>4</xdr:col>
      <xdr:colOff>1257300</xdr:colOff>
      <xdr:row>2</xdr:row>
      <xdr:rowOff>180975</xdr:rowOff>
    </xdr:from>
    <xdr:to>
      <xdr:col>6</xdr:col>
      <xdr:colOff>123825</xdr:colOff>
      <xdr:row>3</xdr:row>
      <xdr:rowOff>219075</xdr:rowOff>
    </xdr:to>
    <xdr:sp macro="" textlink="">
      <xdr:nvSpPr>
        <xdr:cNvPr id="8" name="Left Arrow 7">
          <a:extLst>
            <a:ext uri="{FF2B5EF4-FFF2-40B4-BE49-F238E27FC236}">
              <a16:creationId xmlns:a16="http://schemas.microsoft.com/office/drawing/2014/main" id="{1EF7E114-CF33-4EC3-B178-F69C70AE1D6F}"/>
            </a:ext>
            <a:ext uri="{147F2762-F138-4A5C-976F-8EAC2B608ADB}">
              <a16:predDERef xmlns:a16="http://schemas.microsoft.com/office/drawing/2014/main" pred="{D77F776B-9259-4649-9549-A2DC6E331241}"/>
            </a:ext>
          </a:extLst>
        </xdr:cNvPr>
        <xdr:cNvSpPr/>
      </xdr:nvSpPr>
      <xdr:spPr>
        <a:xfrm>
          <a:off x="9077325" y="781050"/>
          <a:ext cx="2800350" cy="2762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1590675</xdr:colOff>
      <xdr:row>4</xdr:row>
      <xdr:rowOff>219075</xdr:rowOff>
    </xdr:from>
    <xdr:to>
      <xdr:col>4</xdr:col>
      <xdr:colOff>825500</xdr:colOff>
      <xdr:row>6</xdr:row>
      <xdr:rowOff>53975</xdr:rowOff>
    </xdr:to>
    <xdr:sp macro="" textlink="">
      <xdr:nvSpPr>
        <xdr:cNvPr id="2" name="Rounded Rectangle 3">
          <a:extLst>
            <a:ext uri="{FF2B5EF4-FFF2-40B4-BE49-F238E27FC236}">
              <a16:creationId xmlns:a16="http://schemas.microsoft.com/office/drawing/2014/main" id="{82EF995E-7575-4610-99FA-76A4CE8FA457}"/>
            </a:ext>
            <a:ext uri="{147F2762-F138-4A5C-976F-8EAC2B608ADB}">
              <a16:predDERef xmlns:a16="http://schemas.microsoft.com/office/drawing/2014/main" pred="{B49953DA-BE2D-4E12-A723-CA4E0877EB57}"/>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BYWZ3bjIwY1c5U0tWUEVIdlQ4NEhIQVgwQTBGRlc0bWJGQi1xMm44aW01Q0U&quot;}"/>
            </a:ext>
          </a:extLst>
        </xdr:cNvPr>
        <xdr:cNvSpPr/>
      </xdr:nvSpPr>
      <xdr:spPr>
        <a:xfrm>
          <a:off x="7286625" y="1285875"/>
          <a:ext cx="1358900" cy="292100"/>
        </a:xfrm>
        <a:prstGeom prst="roundRect">
          <a:avLst/>
        </a:prstGeom>
        <a:ln/>
      </xdr:spPr>
      <xdr:style>
        <a:lnRef idx="0">
          <a:schemeClr val="accent6"/>
        </a:lnRef>
        <a:fillRef idx="3">
          <a:schemeClr val="accent6"/>
        </a:fillRef>
        <a:effectRef idx="3">
          <a:schemeClr val="accent6"/>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100">
              <a:solidFill>
                <a:schemeClr val="lt1"/>
              </a:solidFill>
              <a:latin typeface="+mn-lt"/>
              <a:ea typeface="+mn-lt"/>
              <a:cs typeface="+mn-lt"/>
            </a:rPr>
            <a:t>Run Table</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Check</a:t>
          </a:r>
        </a:p>
      </xdr:txBody>
    </xdr:sp>
    <xdr:clientData/>
  </xdr:twoCellAnchor>
  <xdr:twoCellAnchor>
    <xdr:from>
      <xdr:col>3</xdr:col>
      <xdr:colOff>495300</xdr:colOff>
      <xdr:row>6</xdr:row>
      <xdr:rowOff>209550</xdr:rowOff>
    </xdr:from>
    <xdr:to>
      <xdr:col>4</xdr:col>
      <xdr:colOff>962025</xdr:colOff>
      <xdr:row>12</xdr:row>
      <xdr:rowOff>85725</xdr:rowOff>
    </xdr:to>
    <xdr:sp macro="" textlink="">
      <xdr:nvSpPr>
        <xdr:cNvPr id="3" name="Rounded Rectangular Callout 4">
          <a:extLst>
            <a:ext uri="{FF2B5EF4-FFF2-40B4-BE49-F238E27FC236}">
              <a16:creationId xmlns:a16="http://schemas.microsoft.com/office/drawing/2014/main" id="{3006439D-8622-470E-A5EA-0A2F4B6FC05D}"/>
            </a:ext>
            <a:ext uri="{147F2762-F138-4A5C-976F-8EAC2B608ADB}">
              <a16:predDERef xmlns:a16="http://schemas.microsoft.com/office/drawing/2014/main" pred="{82EF995E-7575-4610-99FA-76A4CE8FA457}"/>
            </a:ext>
          </a:extLst>
        </xdr:cNvPr>
        <xdr:cNvSpPr/>
      </xdr:nvSpPr>
      <xdr:spPr>
        <a:xfrm>
          <a:off x="6191250" y="17335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time new information is added</a:t>
          </a:r>
        </a:p>
      </xdr:txBody>
    </xdr:sp>
    <xdr:clientData/>
  </xdr:twoCellAnchor>
  <xdr:twoCellAnchor>
    <xdr:from>
      <xdr:col>4</xdr:col>
      <xdr:colOff>876300</xdr:colOff>
      <xdr:row>5</xdr:row>
      <xdr:rowOff>66675</xdr:rowOff>
    </xdr:from>
    <xdr:to>
      <xdr:col>4</xdr:col>
      <xdr:colOff>1362075</xdr:colOff>
      <xdr:row>9</xdr:row>
      <xdr:rowOff>85725</xdr:rowOff>
    </xdr:to>
    <xdr:sp macro="" textlink="">
      <xdr:nvSpPr>
        <xdr:cNvPr id="4" name="Curved Right Arrow 5">
          <a:extLst>
            <a:ext uri="{FF2B5EF4-FFF2-40B4-BE49-F238E27FC236}">
              <a16:creationId xmlns:a16="http://schemas.microsoft.com/office/drawing/2014/main" id="{33E3C257-7EF9-4757-AB80-1E1BCA8A9EC2}"/>
            </a:ext>
            <a:ext uri="{147F2762-F138-4A5C-976F-8EAC2B608ADB}">
              <a16:predDERef xmlns:a16="http://schemas.microsoft.com/office/drawing/2014/main" pred="{3006439D-8622-470E-A5EA-0A2F4B6FC05D}"/>
            </a:ext>
          </a:extLst>
        </xdr:cNvPr>
        <xdr:cNvSpPr/>
      </xdr:nvSpPr>
      <xdr:spPr>
        <a:xfrm rot="10549211">
          <a:off x="8696325" y="1362075"/>
          <a:ext cx="485775" cy="914400"/>
        </a:xfrm>
        <a:prstGeom prst="curv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solidFill>
              <a:schemeClr val="tx1"/>
            </a:solidFill>
          </a:endParaRPr>
        </a:p>
      </xdr:txBody>
    </xdr:sp>
    <xdr:clientData/>
  </xdr:twoCellAnchor>
  <xdr:twoCellAnchor>
    <xdr:from>
      <xdr:col>3</xdr:col>
      <xdr:colOff>1343025</xdr:colOff>
      <xdr:row>3</xdr:row>
      <xdr:rowOff>47625</xdr:rowOff>
    </xdr:from>
    <xdr:to>
      <xdr:col>4</xdr:col>
      <xdr:colOff>1085850</xdr:colOff>
      <xdr:row>4</xdr:row>
      <xdr:rowOff>111125</xdr:rowOff>
    </xdr:to>
    <xdr:sp macro="" textlink="">
      <xdr:nvSpPr>
        <xdr:cNvPr id="5" name="Rounded Rectangle 1">
          <a:extLst>
            <a:ext uri="{FF2B5EF4-FFF2-40B4-BE49-F238E27FC236}">
              <a16:creationId xmlns:a16="http://schemas.microsoft.com/office/drawing/2014/main" id="{A1F8BB75-62A3-4267-A887-627C99BE2CCA}"/>
            </a:ext>
            <a:ext uri="{147F2762-F138-4A5C-976F-8EAC2B608ADB}">
              <a16:predDERef xmlns:a16="http://schemas.microsoft.com/office/drawing/2014/main" pred="{33E3C257-7EF9-4757-AB80-1E1BCA8A9EC2}"/>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EY0JvZE5QYnZIUVlCaFN5RnFGMElyQVotWDhKd3dBanFQTlBMVnB2bmJsZkU&quot;}"/>
            </a:ext>
          </a:extLst>
        </xdr:cNvPr>
        <xdr:cNvSpPr/>
      </xdr:nvSpPr>
      <xdr:spPr>
        <a:xfrm>
          <a:off x="7038975" y="885825"/>
          <a:ext cx="1866900" cy="29210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a:t>Run Add to Central List</a:t>
          </a:r>
        </a:p>
      </xdr:txBody>
    </xdr:sp>
    <xdr:clientData/>
  </xdr:twoCellAnchor>
  <xdr:twoCellAnchor>
    <xdr:from>
      <xdr:col>6</xdr:col>
      <xdr:colOff>209550</xdr:colOff>
      <xdr:row>1</xdr:row>
      <xdr:rowOff>57150</xdr:rowOff>
    </xdr:from>
    <xdr:to>
      <xdr:col>8</xdr:col>
      <xdr:colOff>133350</xdr:colOff>
      <xdr:row>6</xdr:row>
      <xdr:rowOff>66675</xdr:rowOff>
    </xdr:to>
    <xdr:sp macro="" textlink="">
      <xdr:nvSpPr>
        <xdr:cNvPr id="6" name="Rounded Rectangular Callout 2">
          <a:extLst>
            <a:ext uri="{FF2B5EF4-FFF2-40B4-BE49-F238E27FC236}">
              <a16:creationId xmlns:a16="http://schemas.microsoft.com/office/drawing/2014/main" id="{C67BDBE6-7445-4AB9-AFE6-9674F0BB0485}"/>
            </a:ext>
            <a:ext uri="{147F2762-F138-4A5C-976F-8EAC2B608ADB}">
              <a16:predDERef xmlns:a16="http://schemas.microsoft.com/office/drawing/2014/main" pred="{A1F8BB75-62A3-4267-A887-627C99BE2CCA}"/>
            </a:ext>
          </a:extLst>
        </xdr:cNvPr>
        <xdr:cNvSpPr/>
      </xdr:nvSpPr>
      <xdr:spPr>
        <a:xfrm>
          <a:off x="11963400" y="3238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once you're done editing the table</a:t>
          </a:r>
        </a:p>
      </xdr:txBody>
    </xdr:sp>
    <xdr:clientData/>
  </xdr:twoCellAnchor>
  <xdr:twoCellAnchor>
    <xdr:from>
      <xdr:col>6</xdr:col>
      <xdr:colOff>542925</xdr:colOff>
      <xdr:row>7</xdr:row>
      <xdr:rowOff>38100</xdr:rowOff>
    </xdr:from>
    <xdr:to>
      <xdr:col>8</xdr:col>
      <xdr:colOff>466725</xdr:colOff>
      <xdr:row>12</xdr:row>
      <xdr:rowOff>142875</xdr:rowOff>
    </xdr:to>
    <xdr:sp macro="" textlink="">
      <xdr:nvSpPr>
        <xdr:cNvPr id="7" name="Rounded Rectangular Callout 6">
          <a:extLst>
            <a:ext uri="{FF2B5EF4-FFF2-40B4-BE49-F238E27FC236}">
              <a16:creationId xmlns:a16="http://schemas.microsoft.com/office/drawing/2014/main" id="{77CFF250-9EC6-4F02-B0B7-4FB8AD9C93EC}"/>
            </a:ext>
            <a:ext uri="{147F2762-F138-4A5C-976F-8EAC2B608ADB}">
              <a16:predDERef xmlns:a16="http://schemas.microsoft.com/office/drawing/2014/main" pred="{C67BDBE6-7445-4AB9-AFE6-9674F0BB0485}"/>
            </a:ext>
          </a:extLst>
        </xdr:cNvPr>
        <xdr:cNvSpPr/>
      </xdr:nvSpPr>
      <xdr:spPr>
        <a:xfrm>
          <a:off x="12296775" y="179070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4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The script will replace the previous information in the central list if the part name is identical</a:t>
          </a:r>
        </a:p>
      </xdr:txBody>
    </xdr:sp>
    <xdr:clientData/>
  </xdr:twoCellAnchor>
  <xdr:twoCellAnchor>
    <xdr:from>
      <xdr:col>4</xdr:col>
      <xdr:colOff>1257300</xdr:colOff>
      <xdr:row>2</xdr:row>
      <xdr:rowOff>180975</xdr:rowOff>
    </xdr:from>
    <xdr:to>
      <xdr:col>6</xdr:col>
      <xdr:colOff>123825</xdr:colOff>
      <xdr:row>3</xdr:row>
      <xdr:rowOff>219075</xdr:rowOff>
    </xdr:to>
    <xdr:sp macro="" textlink="">
      <xdr:nvSpPr>
        <xdr:cNvPr id="8" name="Left Arrow 7">
          <a:extLst>
            <a:ext uri="{FF2B5EF4-FFF2-40B4-BE49-F238E27FC236}">
              <a16:creationId xmlns:a16="http://schemas.microsoft.com/office/drawing/2014/main" id="{CB2E76DA-F80A-4F6B-93C5-00131422F979}"/>
            </a:ext>
            <a:ext uri="{147F2762-F138-4A5C-976F-8EAC2B608ADB}">
              <a16:predDERef xmlns:a16="http://schemas.microsoft.com/office/drawing/2014/main" pred="{77CFF250-9EC6-4F02-B0B7-4FB8AD9C93EC}"/>
            </a:ext>
          </a:extLst>
        </xdr:cNvPr>
        <xdr:cNvSpPr/>
      </xdr:nvSpPr>
      <xdr:spPr>
        <a:xfrm>
          <a:off x="9077325" y="781050"/>
          <a:ext cx="2800350" cy="2762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1590675</xdr:colOff>
      <xdr:row>4</xdr:row>
      <xdr:rowOff>219075</xdr:rowOff>
    </xdr:from>
    <xdr:to>
      <xdr:col>4</xdr:col>
      <xdr:colOff>825500</xdr:colOff>
      <xdr:row>6</xdr:row>
      <xdr:rowOff>53975</xdr:rowOff>
    </xdr:to>
    <xdr:sp macro="" textlink="">
      <xdr:nvSpPr>
        <xdr:cNvPr id="2" name="Rounded Rectangle 3">
          <a:extLst>
            <a:ext uri="{FF2B5EF4-FFF2-40B4-BE49-F238E27FC236}">
              <a16:creationId xmlns:a16="http://schemas.microsoft.com/office/drawing/2014/main" id="{F6C73673-FE0A-414C-A308-5158BA2CEDA4}"/>
            </a:ext>
            <a:ext uri="{147F2762-F138-4A5C-976F-8EAC2B608ADB}">
              <a16:predDERef xmlns:a16="http://schemas.microsoft.com/office/drawing/2014/main" pred="{B49953DA-BE2D-4E12-A723-CA4E0877EB57}"/>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BYWZ3bjIwY1c5U0tWUEVIdlQ4NEhIQVgwQTBGRlc0bWJGQi1xMm44aW01Q0U&quot;}"/>
            </a:ext>
          </a:extLst>
        </xdr:cNvPr>
        <xdr:cNvSpPr/>
      </xdr:nvSpPr>
      <xdr:spPr>
        <a:xfrm>
          <a:off x="7286625" y="1285875"/>
          <a:ext cx="1358900" cy="292100"/>
        </a:xfrm>
        <a:prstGeom prst="roundRect">
          <a:avLst/>
        </a:prstGeom>
        <a:ln/>
      </xdr:spPr>
      <xdr:style>
        <a:lnRef idx="0">
          <a:schemeClr val="accent6"/>
        </a:lnRef>
        <a:fillRef idx="3">
          <a:schemeClr val="accent6"/>
        </a:fillRef>
        <a:effectRef idx="3">
          <a:schemeClr val="accent6"/>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100">
              <a:solidFill>
                <a:schemeClr val="lt1"/>
              </a:solidFill>
              <a:latin typeface="+mn-lt"/>
              <a:ea typeface="+mn-lt"/>
              <a:cs typeface="+mn-lt"/>
            </a:rPr>
            <a:t>Run Table</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Check</a:t>
          </a:r>
        </a:p>
      </xdr:txBody>
    </xdr:sp>
    <xdr:clientData/>
  </xdr:twoCellAnchor>
  <xdr:twoCellAnchor>
    <xdr:from>
      <xdr:col>3</xdr:col>
      <xdr:colOff>495300</xdr:colOff>
      <xdr:row>6</xdr:row>
      <xdr:rowOff>209550</xdr:rowOff>
    </xdr:from>
    <xdr:to>
      <xdr:col>4</xdr:col>
      <xdr:colOff>962025</xdr:colOff>
      <xdr:row>12</xdr:row>
      <xdr:rowOff>85725</xdr:rowOff>
    </xdr:to>
    <xdr:sp macro="" textlink="">
      <xdr:nvSpPr>
        <xdr:cNvPr id="3" name="Rounded Rectangular Callout 4">
          <a:extLst>
            <a:ext uri="{FF2B5EF4-FFF2-40B4-BE49-F238E27FC236}">
              <a16:creationId xmlns:a16="http://schemas.microsoft.com/office/drawing/2014/main" id="{15B1A19C-8452-424B-A05C-9935967AFA34}"/>
            </a:ext>
            <a:ext uri="{147F2762-F138-4A5C-976F-8EAC2B608ADB}">
              <a16:predDERef xmlns:a16="http://schemas.microsoft.com/office/drawing/2014/main" pred="{F6C73673-FE0A-414C-A308-5158BA2CEDA4}"/>
            </a:ext>
          </a:extLst>
        </xdr:cNvPr>
        <xdr:cNvSpPr/>
      </xdr:nvSpPr>
      <xdr:spPr>
        <a:xfrm>
          <a:off x="6191250" y="17335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time new information is added</a:t>
          </a:r>
        </a:p>
      </xdr:txBody>
    </xdr:sp>
    <xdr:clientData/>
  </xdr:twoCellAnchor>
  <xdr:twoCellAnchor>
    <xdr:from>
      <xdr:col>4</xdr:col>
      <xdr:colOff>876300</xdr:colOff>
      <xdr:row>5</xdr:row>
      <xdr:rowOff>66675</xdr:rowOff>
    </xdr:from>
    <xdr:to>
      <xdr:col>4</xdr:col>
      <xdr:colOff>1362075</xdr:colOff>
      <xdr:row>9</xdr:row>
      <xdr:rowOff>85725</xdr:rowOff>
    </xdr:to>
    <xdr:sp macro="" textlink="">
      <xdr:nvSpPr>
        <xdr:cNvPr id="4" name="Curved Right Arrow 5">
          <a:extLst>
            <a:ext uri="{FF2B5EF4-FFF2-40B4-BE49-F238E27FC236}">
              <a16:creationId xmlns:a16="http://schemas.microsoft.com/office/drawing/2014/main" id="{37B8F545-5F38-4B29-8EAC-6C3E1B6A9A22}"/>
            </a:ext>
            <a:ext uri="{147F2762-F138-4A5C-976F-8EAC2B608ADB}">
              <a16:predDERef xmlns:a16="http://schemas.microsoft.com/office/drawing/2014/main" pred="{15B1A19C-8452-424B-A05C-9935967AFA34}"/>
            </a:ext>
          </a:extLst>
        </xdr:cNvPr>
        <xdr:cNvSpPr/>
      </xdr:nvSpPr>
      <xdr:spPr>
        <a:xfrm rot="10549211">
          <a:off x="8696325" y="1362075"/>
          <a:ext cx="485775" cy="914400"/>
        </a:xfrm>
        <a:prstGeom prst="curv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solidFill>
              <a:schemeClr val="tx1"/>
            </a:solidFill>
          </a:endParaRPr>
        </a:p>
      </xdr:txBody>
    </xdr:sp>
    <xdr:clientData/>
  </xdr:twoCellAnchor>
  <xdr:twoCellAnchor>
    <xdr:from>
      <xdr:col>3</xdr:col>
      <xdr:colOff>1343025</xdr:colOff>
      <xdr:row>3</xdr:row>
      <xdr:rowOff>47625</xdr:rowOff>
    </xdr:from>
    <xdr:to>
      <xdr:col>4</xdr:col>
      <xdr:colOff>1085850</xdr:colOff>
      <xdr:row>4</xdr:row>
      <xdr:rowOff>111125</xdr:rowOff>
    </xdr:to>
    <xdr:sp macro="" textlink="">
      <xdr:nvSpPr>
        <xdr:cNvPr id="5" name="Rounded Rectangle 1">
          <a:extLst>
            <a:ext uri="{FF2B5EF4-FFF2-40B4-BE49-F238E27FC236}">
              <a16:creationId xmlns:a16="http://schemas.microsoft.com/office/drawing/2014/main" id="{65611E3A-3A2E-415B-BD00-B587F939AB19}"/>
            </a:ext>
            <a:ext uri="{147F2762-F138-4A5C-976F-8EAC2B608ADB}">
              <a16:predDERef xmlns:a16="http://schemas.microsoft.com/office/drawing/2014/main" pred="{37B8F545-5F38-4B29-8EAC-6C3E1B6A9A22}"/>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EY0JvZE5QYnZIUVlCaFN5RnFGMElyQVotWDhKd3dBanFQTlBMVnB2bmJsZkU&quot;}"/>
            </a:ext>
          </a:extLst>
        </xdr:cNvPr>
        <xdr:cNvSpPr/>
      </xdr:nvSpPr>
      <xdr:spPr>
        <a:xfrm>
          <a:off x="7038975" y="885825"/>
          <a:ext cx="1866900" cy="29210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a:t>Run Add to Central List</a:t>
          </a:r>
        </a:p>
      </xdr:txBody>
    </xdr:sp>
    <xdr:clientData/>
  </xdr:twoCellAnchor>
  <xdr:twoCellAnchor>
    <xdr:from>
      <xdr:col>6</xdr:col>
      <xdr:colOff>209550</xdr:colOff>
      <xdr:row>1</xdr:row>
      <xdr:rowOff>57150</xdr:rowOff>
    </xdr:from>
    <xdr:to>
      <xdr:col>8</xdr:col>
      <xdr:colOff>133350</xdr:colOff>
      <xdr:row>6</xdr:row>
      <xdr:rowOff>66675</xdr:rowOff>
    </xdr:to>
    <xdr:sp macro="" textlink="">
      <xdr:nvSpPr>
        <xdr:cNvPr id="6" name="Rounded Rectangular Callout 2">
          <a:extLst>
            <a:ext uri="{FF2B5EF4-FFF2-40B4-BE49-F238E27FC236}">
              <a16:creationId xmlns:a16="http://schemas.microsoft.com/office/drawing/2014/main" id="{00C0CECD-A364-4458-BDB1-B0424F541383}"/>
            </a:ext>
            <a:ext uri="{147F2762-F138-4A5C-976F-8EAC2B608ADB}">
              <a16:predDERef xmlns:a16="http://schemas.microsoft.com/office/drawing/2014/main" pred="{65611E3A-3A2E-415B-BD00-B587F939AB19}"/>
            </a:ext>
          </a:extLst>
        </xdr:cNvPr>
        <xdr:cNvSpPr/>
      </xdr:nvSpPr>
      <xdr:spPr>
        <a:xfrm>
          <a:off x="11963400" y="3238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once you're done editing the table</a:t>
          </a:r>
        </a:p>
      </xdr:txBody>
    </xdr:sp>
    <xdr:clientData/>
  </xdr:twoCellAnchor>
  <xdr:twoCellAnchor>
    <xdr:from>
      <xdr:col>6</xdr:col>
      <xdr:colOff>542925</xdr:colOff>
      <xdr:row>7</xdr:row>
      <xdr:rowOff>38100</xdr:rowOff>
    </xdr:from>
    <xdr:to>
      <xdr:col>8</xdr:col>
      <xdr:colOff>466725</xdr:colOff>
      <xdr:row>12</xdr:row>
      <xdr:rowOff>142875</xdr:rowOff>
    </xdr:to>
    <xdr:sp macro="" textlink="">
      <xdr:nvSpPr>
        <xdr:cNvPr id="7" name="Rounded Rectangular Callout 6">
          <a:extLst>
            <a:ext uri="{FF2B5EF4-FFF2-40B4-BE49-F238E27FC236}">
              <a16:creationId xmlns:a16="http://schemas.microsoft.com/office/drawing/2014/main" id="{159A6083-D3FD-4B7D-A94B-602BF6209204}"/>
            </a:ext>
            <a:ext uri="{147F2762-F138-4A5C-976F-8EAC2B608ADB}">
              <a16:predDERef xmlns:a16="http://schemas.microsoft.com/office/drawing/2014/main" pred="{00C0CECD-A364-4458-BDB1-B0424F541383}"/>
            </a:ext>
          </a:extLst>
        </xdr:cNvPr>
        <xdr:cNvSpPr/>
      </xdr:nvSpPr>
      <xdr:spPr>
        <a:xfrm>
          <a:off x="12296775" y="179070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4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The script will replace the previous information in the central list if the part name is identical</a:t>
          </a:r>
        </a:p>
      </xdr:txBody>
    </xdr:sp>
    <xdr:clientData/>
  </xdr:twoCellAnchor>
  <xdr:twoCellAnchor>
    <xdr:from>
      <xdr:col>4</xdr:col>
      <xdr:colOff>1257300</xdr:colOff>
      <xdr:row>2</xdr:row>
      <xdr:rowOff>180975</xdr:rowOff>
    </xdr:from>
    <xdr:to>
      <xdr:col>6</xdr:col>
      <xdr:colOff>123825</xdr:colOff>
      <xdr:row>3</xdr:row>
      <xdr:rowOff>219075</xdr:rowOff>
    </xdr:to>
    <xdr:sp macro="" textlink="">
      <xdr:nvSpPr>
        <xdr:cNvPr id="8" name="Left Arrow 7">
          <a:extLst>
            <a:ext uri="{FF2B5EF4-FFF2-40B4-BE49-F238E27FC236}">
              <a16:creationId xmlns:a16="http://schemas.microsoft.com/office/drawing/2014/main" id="{C22A9720-B84F-4479-B5DB-D1913042118F}"/>
            </a:ext>
            <a:ext uri="{147F2762-F138-4A5C-976F-8EAC2B608ADB}">
              <a16:predDERef xmlns:a16="http://schemas.microsoft.com/office/drawing/2014/main" pred="{159A6083-D3FD-4B7D-A94B-602BF6209204}"/>
            </a:ext>
          </a:extLst>
        </xdr:cNvPr>
        <xdr:cNvSpPr/>
      </xdr:nvSpPr>
      <xdr:spPr>
        <a:xfrm>
          <a:off x="9077325" y="781050"/>
          <a:ext cx="2800350" cy="2762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1590675</xdr:colOff>
      <xdr:row>4</xdr:row>
      <xdr:rowOff>219075</xdr:rowOff>
    </xdr:from>
    <xdr:to>
      <xdr:col>4</xdr:col>
      <xdr:colOff>825500</xdr:colOff>
      <xdr:row>6</xdr:row>
      <xdr:rowOff>53975</xdr:rowOff>
    </xdr:to>
    <xdr:sp macro="" textlink="">
      <xdr:nvSpPr>
        <xdr:cNvPr id="2" name="Rounded Rectangle 3">
          <a:extLst>
            <a:ext uri="{FF2B5EF4-FFF2-40B4-BE49-F238E27FC236}">
              <a16:creationId xmlns:a16="http://schemas.microsoft.com/office/drawing/2014/main" id="{FF062ABB-44BD-4342-8199-3C403242EE0C}"/>
            </a:ext>
            <a:ext uri="{147F2762-F138-4A5C-976F-8EAC2B608ADB}">
              <a16:predDERef xmlns:a16="http://schemas.microsoft.com/office/drawing/2014/main" pred="{B49953DA-BE2D-4E12-A723-CA4E0877EB57}"/>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BYWZ3bjIwY1c5U0tWUEVIdlQ4NEhIQVgwQTBGRlc0bWJGQi1xMm44aW01Q0U&quot;}"/>
            </a:ext>
          </a:extLst>
        </xdr:cNvPr>
        <xdr:cNvSpPr/>
      </xdr:nvSpPr>
      <xdr:spPr>
        <a:xfrm>
          <a:off x="7286625" y="1285875"/>
          <a:ext cx="1358900" cy="292100"/>
        </a:xfrm>
        <a:prstGeom prst="roundRect">
          <a:avLst/>
        </a:prstGeom>
        <a:ln/>
      </xdr:spPr>
      <xdr:style>
        <a:lnRef idx="0">
          <a:schemeClr val="accent6"/>
        </a:lnRef>
        <a:fillRef idx="3">
          <a:schemeClr val="accent6"/>
        </a:fillRef>
        <a:effectRef idx="3">
          <a:schemeClr val="accent6"/>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100">
              <a:solidFill>
                <a:schemeClr val="lt1"/>
              </a:solidFill>
              <a:latin typeface="+mn-lt"/>
              <a:ea typeface="+mn-lt"/>
              <a:cs typeface="+mn-lt"/>
            </a:rPr>
            <a:t>Run Table</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Check</a:t>
          </a:r>
        </a:p>
      </xdr:txBody>
    </xdr:sp>
    <xdr:clientData/>
  </xdr:twoCellAnchor>
  <xdr:twoCellAnchor>
    <xdr:from>
      <xdr:col>3</xdr:col>
      <xdr:colOff>495300</xdr:colOff>
      <xdr:row>6</xdr:row>
      <xdr:rowOff>209550</xdr:rowOff>
    </xdr:from>
    <xdr:to>
      <xdr:col>4</xdr:col>
      <xdr:colOff>962025</xdr:colOff>
      <xdr:row>12</xdr:row>
      <xdr:rowOff>85725</xdr:rowOff>
    </xdr:to>
    <xdr:sp macro="" textlink="">
      <xdr:nvSpPr>
        <xdr:cNvPr id="3" name="Rounded Rectangular Callout 4">
          <a:extLst>
            <a:ext uri="{FF2B5EF4-FFF2-40B4-BE49-F238E27FC236}">
              <a16:creationId xmlns:a16="http://schemas.microsoft.com/office/drawing/2014/main" id="{5E6250CD-99B0-444C-9417-9D8203862962}"/>
            </a:ext>
            <a:ext uri="{147F2762-F138-4A5C-976F-8EAC2B608ADB}">
              <a16:predDERef xmlns:a16="http://schemas.microsoft.com/office/drawing/2014/main" pred="{FF062ABB-44BD-4342-8199-3C403242EE0C}"/>
            </a:ext>
          </a:extLst>
        </xdr:cNvPr>
        <xdr:cNvSpPr/>
      </xdr:nvSpPr>
      <xdr:spPr>
        <a:xfrm>
          <a:off x="6191250" y="17335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time new information is added</a:t>
          </a:r>
        </a:p>
      </xdr:txBody>
    </xdr:sp>
    <xdr:clientData/>
  </xdr:twoCellAnchor>
  <xdr:twoCellAnchor>
    <xdr:from>
      <xdr:col>4</xdr:col>
      <xdr:colOff>876300</xdr:colOff>
      <xdr:row>5</xdr:row>
      <xdr:rowOff>66675</xdr:rowOff>
    </xdr:from>
    <xdr:to>
      <xdr:col>4</xdr:col>
      <xdr:colOff>1362075</xdr:colOff>
      <xdr:row>9</xdr:row>
      <xdr:rowOff>85725</xdr:rowOff>
    </xdr:to>
    <xdr:sp macro="" textlink="">
      <xdr:nvSpPr>
        <xdr:cNvPr id="4" name="Curved Right Arrow 5">
          <a:extLst>
            <a:ext uri="{FF2B5EF4-FFF2-40B4-BE49-F238E27FC236}">
              <a16:creationId xmlns:a16="http://schemas.microsoft.com/office/drawing/2014/main" id="{1B86326A-4D91-4D4D-9100-371213146FFC}"/>
            </a:ext>
            <a:ext uri="{147F2762-F138-4A5C-976F-8EAC2B608ADB}">
              <a16:predDERef xmlns:a16="http://schemas.microsoft.com/office/drawing/2014/main" pred="{5E6250CD-99B0-444C-9417-9D8203862962}"/>
            </a:ext>
          </a:extLst>
        </xdr:cNvPr>
        <xdr:cNvSpPr/>
      </xdr:nvSpPr>
      <xdr:spPr>
        <a:xfrm rot="10549211">
          <a:off x="8696325" y="1362075"/>
          <a:ext cx="485775" cy="914400"/>
        </a:xfrm>
        <a:prstGeom prst="curv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solidFill>
              <a:schemeClr val="tx1"/>
            </a:solidFill>
          </a:endParaRPr>
        </a:p>
      </xdr:txBody>
    </xdr:sp>
    <xdr:clientData/>
  </xdr:twoCellAnchor>
  <xdr:twoCellAnchor>
    <xdr:from>
      <xdr:col>3</xdr:col>
      <xdr:colOff>1343025</xdr:colOff>
      <xdr:row>3</xdr:row>
      <xdr:rowOff>47625</xdr:rowOff>
    </xdr:from>
    <xdr:to>
      <xdr:col>4</xdr:col>
      <xdr:colOff>1085850</xdr:colOff>
      <xdr:row>4</xdr:row>
      <xdr:rowOff>111125</xdr:rowOff>
    </xdr:to>
    <xdr:sp macro="" textlink="">
      <xdr:nvSpPr>
        <xdr:cNvPr id="5" name="Rounded Rectangle 1">
          <a:extLst>
            <a:ext uri="{FF2B5EF4-FFF2-40B4-BE49-F238E27FC236}">
              <a16:creationId xmlns:a16="http://schemas.microsoft.com/office/drawing/2014/main" id="{CFE21E41-35BC-41AA-A9F8-A59101B1FE08}"/>
            </a:ext>
            <a:ext uri="{147F2762-F138-4A5C-976F-8EAC2B608ADB}">
              <a16:predDERef xmlns:a16="http://schemas.microsoft.com/office/drawing/2014/main" pred="{1B86326A-4D91-4D4D-9100-371213146FFC}"/>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EY0JvZE5QYnZIUVlCaFN5RnFGMElyQVotWDhKd3dBanFQTlBMVnB2bmJsZkU&quot;}"/>
            </a:ext>
          </a:extLst>
        </xdr:cNvPr>
        <xdr:cNvSpPr/>
      </xdr:nvSpPr>
      <xdr:spPr>
        <a:xfrm>
          <a:off x="7038975" y="885825"/>
          <a:ext cx="1866900" cy="29210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a:t>Run Add to Central List</a:t>
          </a:r>
        </a:p>
      </xdr:txBody>
    </xdr:sp>
    <xdr:clientData/>
  </xdr:twoCellAnchor>
  <xdr:twoCellAnchor>
    <xdr:from>
      <xdr:col>6</xdr:col>
      <xdr:colOff>209550</xdr:colOff>
      <xdr:row>1</xdr:row>
      <xdr:rowOff>57150</xdr:rowOff>
    </xdr:from>
    <xdr:to>
      <xdr:col>8</xdr:col>
      <xdr:colOff>133350</xdr:colOff>
      <xdr:row>6</xdr:row>
      <xdr:rowOff>66675</xdr:rowOff>
    </xdr:to>
    <xdr:sp macro="" textlink="">
      <xdr:nvSpPr>
        <xdr:cNvPr id="6" name="Rounded Rectangular Callout 2">
          <a:extLst>
            <a:ext uri="{FF2B5EF4-FFF2-40B4-BE49-F238E27FC236}">
              <a16:creationId xmlns:a16="http://schemas.microsoft.com/office/drawing/2014/main" id="{A8F71A06-520D-4D88-8DC2-5BE7195CBD98}"/>
            </a:ext>
            <a:ext uri="{147F2762-F138-4A5C-976F-8EAC2B608ADB}">
              <a16:predDERef xmlns:a16="http://schemas.microsoft.com/office/drawing/2014/main" pred="{CFE21E41-35BC-41AA-A9F8-A59101B1FE08}"/>
            </a:ext>
          </a:extLst>
        </xdr:cNvPr>
        <xdr:cNvSpPr/>
      </xdr:nvSpPr>
      <xdr:spPr>
        <a:xfrm>
          <a:off x="11963400" y="3238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once you're done editing the table</a:t>
          </a:r>
        </a:p>
      </xdr:txBody>
    </xdr:sp>
    <xdr:clientData/>
  </xdr:twoCellAnchor>
  <xdr:twoCellAnchor>
    <xdr:from>
      <xdr:col>6</xdr:col>
      <xdr:colOff>542925</xdr:colOff>
      <xdr:row>7</xdr:row>
      <xdr:rowOff>38100</xdr:rowOff>
    </xdr:from>
    <xdr:to>
      <xdr:col>8</xdr:col>
      <xdr:colOff>466725</xdr:colOff>
      <xdr:row>12</xdr:row>
      <xdr:rowOff>142875</xdr:rowOff>
    </xdr:to>
    <xdr:sp macro="" textlink="">
      <xdr:nvSpPr>
        <xdr:cNvPr id="7" name="Rounded Rectangular Callout 6">
          <a:extLst>
            <a:ext uri="{FF2B5EF4-FFF2-40B4-BE49-F238E27FC236}">
              <a16:creationId xmlns:a16="http://schemas.microsoft.com/office/drawing/2014/main" id="{1867B193-7F75-43A5-8656-E9EDD0723427}"/>
            </a:ext>
            <a:ext uri="{147F2762-F138-4A5C-976F-8EAC2B608ADB}">
              <a16:predDERef xmlns:a16="http://schemas.microsoft.com/office/drawing/2014/main" pred="{A8F71A06-520D-4D88-8DC2-5BE7195CBD98}"/>
            </a:ext>
          </a:extLst>
        </xdr:cNvPr>
        <xdr:cNvSpPr/>
      </xdr:nvSpPr>
      <xdr:spPr>
        <a:xfrm>
          <a:off x="12296775" y="179070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4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The script will replace the previous information in the central list if the part name is identical</a:t>
          </a:r>
        </a:p>
      </xdr:txBody>
    </xdr:sp>
    <xdr:clientData/>
  </xdr:twoCellAnchor>
  <xdr:twoCellAnchor>
    <xdr:from>
      <xdr:col>4</xdr:col>
      <xdr:colOff>1257300</xdr:colOff>
      <xdr:row>2</xdr:row>
      <xdr:rowOff>180975</xdr:rowOff>
    </xdr:from>
    <xdr:to>
      <xdr:col>6</xdr:col>
      <xdr:colOff>123825</xdr:colOff>
      <xdr:row>3</xdr:row>
      <xdr:rowOff>219075</xdr:rowOff>
    </xdr:to>
    <xdr:sp macro="" textlink="">
      <xdr:nvSpPr>
        <xdr:cNvPr id="8" name="Left Arrow 7">
          <a:extLst>
            <a:ext uri="{FF2B5EF4-FFF2-40B4-BE49-F238E27FC236}">
              <a16:creationId xmlns:a16="http://schemas.microsoft.com/office/drawing/2014/main" id="{E5FD25C2-B80F-49DE-A45E-CCEF72468B26}"/>
            </a:ext>
            <a:ext uri="{147F2762-F138-4A5C-976F-8EAC2B608ADB}">
              <a16:predDERef xmlns:a16="http://schemas.microsoft.com/office/drawing/2014/main" pred="{1867B193-7F75-43A5-8656-E9EDD0723427}"/>
            </a:ext>
          </a:extLst>
        </xdr:cNvPr>
        <xdr:cNvSpPr/>
      </xdr:nvSpPr>
      <xdr:spPr>
        <a:xfrm>
          <a:off x="9077325" y="781050"/>
          <a:ext cx="2800350" cy="2762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1590675</xdr:colOff>
      <xdr:row>4</xdr:row>
      <xdr:rowOff>219075</xdr:rowOff>
    </xdr:from>
    <xdr:to>
      <xdr:col>4</xdr:col>
      <xdr:colOff>825500</xdr:colOff>
      <xdr:row>6</xdr:row>
      <xdr:rowOff>53975</xdr:rowOff>
    </xdr:to>
    <xdr:sp macro="" textlink="">
      <xdr:nvSpPr>
        <xdr:cNvPr id="2" name="Rounded Rectangle 3">
          <a:extLst>
            <a:ext uri="{FF2B5EF4-FFF2-40B4-BE49-F238E27FC236}">
              <a16:creationId xmlns:a16="http://schemas.microsoft.com/office/drawing/2014/main" id="{BAF2CCB0-9D37-4A1D-8F1F-B8C94ABE8BF4}"/>
            </a:ext>
            <a:ext uri="{147F2762-F138-4A5C-976F-8EAC2B608ADB}">
              <a16:predDERef xmlns:a16="http://schemas.microsoft.com/office/drawing/2014/main" pred="{B49953DA-BE2D-4E12-A723-CA4E0877EB57}"/>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BYWZ3bjIwY1c5U0tWUEVIdlQ4NEhIQVgwQTBGRlc0bWJGQi1xMm44aW01Q0U&quot;}"/>
            </a:ext>
          </a:extLst>
        </xdr:cNvPr>
        <xdr:cNvSpPr/>
      </xdr:nvSpPr>
      <xdr:spPr>
        <a:xfrm>
          <a:off x="6343650" y="1285875"/>
          <a:ext cx="1358900" cy="292100"/>
        </a:xfrm>
        <a:prstGeom prst="roundRect">
          <a:avLst/>
        </a:prstGeom>
        <a:ln/>
      </xdr:spPr>
      <xdr:style>
        <a:lnRef idx="0">
          <a:schemeClr val="accent6"/>
        </a:lnRef>
        <a:fillRef idx="3">
          <a:schemeClr val="accent6"/>
        </a:fillRef>
        <a:effectRef idx="3">
          <a:schemeClr val="accent6"/>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100">
              <a:solidFill>
                <a:schemeClr val="lt1"/>
              </a:solidFill>
              <a:latin typeface="+mn-lt"/>
              <a:ea typeface="+mn-lt"/>
              <a:cs typeface="+mn-lt"/>
            </a:rPr>
            <a:t>Run Table</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Check</a:t>
          </a:r>
        </a:p>
      </xdr:txBody>
    </xdr:sp>
    <xdr:clientData/>
  </xdr:twoCellAnchor>
  <xdr:twoCellAnchor>
    <xdr:from>
      <xdr:col>3</xdr:col>
      <xdr:colOff>495300</xdr:colOff>
      <xdr:row>6</xdr:row>
      <xdr:rowOff>209550</xdr:rowOff>
    </xdr:from>
    <xdr:to>
      <xdr:col>4</xdr:col>
      <xdr:colOff>962025</xdr:colOff>
      <xdr:row>12</xdr:row>
      <xdr:rowOff>85725</xdr:rowOff>
    </xdr:to>
    <xdr:sp macro="" textlink="">
      <xdr:nvSpPr>
        <xdr:cNvPr id="3" name="Rounded Rectangular Callout 4">
          <a:extLst>
            <a:ext uri="{FF2B5EF4-FFF2-40B4-BE49-F238E27FC236}">
              <a16:creationId xmlns:a16="http://schemas.microsoft.com/office/drawing/2014/main" id="{715CB743-24EB-403E-B535-DFC2412A3A20}"/>
            </a:ext>
            <a:ext uri="{147F2762-F138-4A5C-976F-8EAC2B608ADB}">
              <a16:predDERef xmlns:a16="http://schemas.microsoft.com/office/drawing/2014/main" pred="{BAF2CCB0-9D37-4A1D-8F1F-B8C94ABE8BF4}"/>
            </a:ext>
          </a:extLst>
        </xdr:cNvPr>
        <xdr:cNvSpPr/>
      </xdr:nvSpPr>
      <xdr:spPr>
        <a:xfrm>
          <a:off x="5248275" y="17335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time new information is added</a:t>
          </a:r>
        </a:p>
      </xdr:txBody>
    </xdr:sp>
    <xdr:clientData/>
  </xdr:twoCellAnchor>
  <xdr:twoCellAnchor>
    <xdr:from>
      <xdr:col>4</xdr:col>
      <xdr:colOff>876300</xdr:colOff>
      <xdr:row>5</xdr:row>
      <xdr:rowOff>66675</xdr:rowOff>
    </xdr:from>
    <xdr:to>
      <xdr:col>4</xdr:col>
      <xdr:colOff>1362075</xdr:colOff>
      <xdr:row>9</xdr:row>
      <xdr:rowOff>85725</xdr:rowOff>
    </xdr:to>
    <xdr:sp macro="" textlink="">
      <xdr:nvSpPr>
        <xdr:cNvPr id="4" name="Curved Right Arrow 5">
          <a:extLst>
            <a:ext uri="{FF2B5EF4-FFF2-40B4-BE49-F238E27FC236}">
              <a16:creationId xmlns:a16="http://schemas.microsoft.com/office/drawing/2014/main" id="{9A217AA4-803B-4C6A-B3F3-333549C3FA8B}"/>
            </a:ext>
            <a:ext uri="{147F2762-F138-4A5C-976F-8EAC2B608ADB}">
              <a16:predDERef xmlns:a16="http://schemas.microsoft.com/office/drawing/2014/main" pred="{715CB743-24EB-403E-B535-DFC2412A3A20}"/>
            </a:ext>
          </a:extLst>
        </xdr:cNvPr>
        <xdr:cNvSpPr/>
      </xdr:nvSpPr>
      <xdr:spPr>
        <a:xfrm rot="10549211">
          <a:off x="7753350" y="1362075"/>
          <a:ext cx="485775" cy="914400"/>
        </a:xfrm>
        <a:prstGeom prst="curv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solidFill>
              <a:schemeClr val="tx1"/>
            </a:solidFill>
          </a:endParaRPr>
        </a:p>
      </xdr:txBody>
    </xdr:sp>
    <xdr:clientData/>
  </xdr:twoCellAnchor>
  <xdr:twoCellAnchor>
    <xdr:from>
      <xdr:col>3</xdr:col>
      <xdr:colOff>1343025</xdr:colOff>
      <xdr:row>3</xdr:row>
      <xdr:rowOff>47625</xdr:rowOff>
    </xdr:from>
    <xdr:to>
      <xdr:col>4</xdr:col>
      <xdr:colOff>1085850</xdr:colOff>
      <xdr:row>4</xdr:row>
      <xdr:rowOff>111125</xdr:rowOff>
    </xdr:to>
    <xdr:sp macro="" textlink="">
      <xdr:nvSpPr>
        <xdr:cNvPr id="5" name="Rounded Rectangle 1">
          <a:extLst>
            <a:ext uri="{FF2B5EF4-FFF2-40B4-BE49-F238E27FC236}">
              <a16:creationId xmlns:a16="http://schemas.microsoft.com/office/drawing/2014/main" id="{92606C5D-4AA3-4058-BB2A-24C1AC3C00EB}"/>
            </a:ext>
            <a:ext uri="{147F2762-F138-4A5C-976F-8EAC2B608ADB}">
              <a16:predDERef xmlns:a16="http://schemas.microsoft.com/office/drawing/2014/main" pred="{9A217AA4-803B-4C6A-B3F3-333549C3FA8B}"/>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EY0JvZE5QYnZIUVlCaFN5RnFGMElyQVotWDhKd3dBanFQTlBMVnB2bmJsZkU&quot;}"/>
            </a:ext>
          </a:extLst>
        </xdr:cNvPr>
        <xdr:cNvSpPr/>
      </xdr:nvSpPr>
      <xdr:spPr>
        <a:xfrm>
          <a:off x="6096000" y="885825"/>
          <a:ext cx="1866900" cy="29210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a:t>Run Add to Central List</a:t>
          </a:r>
        </a:p>
      </xdr:txBody>
    </xdr:sp>
    <xdr:clientData/>
  </xdr:twoCellAnchor>
  <xdr:twoCellAnchor>
    <xdr:from>
      <xdr:col>6</xdr:col>
      <xdr:colOff>209550</xdr:colOff>
      <xdr:row>1</xdr:row>
      <xdr:rowOff>57150</xdr:rowOff>
    </xdr:from>
    <xdr:to>
      <xdr:col>8</xdr:col>
      <xdr:colOff>133350</xdr:colOff>
      <xdr:row>6</xdr:row>
      <xdr:rowOff>66675</xdr:rowOff>
    </xdr:to>
    <xdr:sp macro="" textlink="">
      <xdr:nvSpPr>
        <xdr:cNvPr id="6" name="Rounded Rectangular Callout 2">
          <a:extLst>
            <a:ext uri="{FF2B5EF4-FFF2-40B4-BE49-F238E27FC236}">
              <a16:creationId xmlns:a16="http://schemas.microsoft.com/office/drawing/2014/main" id="{6D500B97-A751-4412-8863-5884E153D3D3}"/>
            </a:ext>
            <a:ext uri="{147F2762-F138-4A5C-976F-8EAC2B608ADB}">
              <a16:predDERef xmlns:a16="http://schemas.microsoft.com/office/drawing/2014/main" pred="{92606C5D-4AA3-4058-BB2A-24C1AC3C00EB}"/>
            </a:ext>
          </a:extLst>
        </xdr:cNvPr>
        <xdr:cNvSpPr/>
      </xdr:nvSpPr>
      <xdr:spPr>
        <a:xfrm>
          <a:off x="11020425" y="3238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once you're done editing the table</a:t>
          </a:r>
        </a:p>
      </xdr:txBody>
    </xdr:sp>
    <xdr:clientData/>
  </xdr:twoCellAnchor>
  <xdr:twoCellAnchor>
    <xdr:from>
      <xdr:col>6</xdr:col>
      <xdr:colOff>542925</xdr:colOff>
      <xdr:row>7</xdr:row>
      <xdr:rowOff>38100</xdr:rowOff>
    </xdr:from>
    <xdr:to>
      <xdr:col>8</xdr:col>
      <xdr:colOff>466725</xdr:colOff>
      <xdr:row>12</xdr:row>
      <xdr:rowOff>142875</xdr:rowOff>
    </xdr:to>
    <xdr:sp macro="" textlink="">
      <xdr:nvSpPr>
        <xdr:cNvPr id="7" name="Rounded Rectangular Callout 6">
          <a:extLst>
            <a:ext uri="{FF2B5EF4-FFF2-40B4-BE49-F238E27FC236}">
              <a16:creationId xmlns:a16="http://schemas.microsoft.com/office/drawing/2014/main" id="{148E44D7-7A90-47B2-95EE-20F747D783C5}"/>
            </a:ext>
            <a:ext uri="{147F2762-F138-4A5C-976F-8EAC2B608ADB}">
              <a16:predDERef xmlns:a16="http://schemas.microsoft.com/office/drawing/2014/main" pred="{6D500B97-A751-4412-8863-5884E153D3D3}"/>
            </a:ext>
          </a:extLst>
        </xdr:cNvPr>
        <xdr:cNvSpPr/>
      </xdr:nvSpPr>
      <xdr:spPr>
        <a:xfrm>
          <a:off x="11353800" y="179070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4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The script will replace the previous information in the central list if the part name is identical</a:t>
          </a:r>
        </a:p>
      </xdr:txBody>
    </xdr:sp>
    <xdr:clientData/>
  </xdr:twoCellAnchor>
  <xdr:twoCellAnchor>
    <xdr:from>
      <xdr:col>4</xdr:col>
      <xdr:colOff>1257300</xdr:colOff>
      <xdr:row>2</xdr:row>
      <xdr:rowOff>180975</xdr:rowOff>
    </xdr:from>
    <xdr:to>
      <xdr:col>6</xdr:col>
      <xdr:colOff>123825</xdr:colOff>
      <xdr:row>3</xdr:row>
      <xdr:rowOff>219075</xdr:rowOff>
    </xdr:to>
    <xdr:sp macro="" textlink="">
      <xdr:nvSpPr>
        <xdr:cNvPr id="8" name="Left Arrow 7">
          <a:extLst>
            <a:ext uri="{FF2B5EF4-FFF2-40B4-BE49-F238E27FC236}">
              <a16:creationId xmlns:a16="http://schemas.microsoft.com/office/drawing/2014/main" id="{CCB1BC6A-BF1D-4B6D-AF50-F5AB6601A45A}"/>
            </a:ext>
            <a:ext uri="{147F2762-F138-4A5C-976F-8EAC2B608ADB}">
              <a16:predDERef xmlns:a16="http://schemas.microsoft.com/office/drawing/2014/main" pred="{148E44D7-7A90-47B2-95EE-20F747D783C5}"/>
            </a:ext>
          </a:extLst>
        </xdr:cNvPr>
        <xdr:cNvSpPr/>
      </xdr:nvSpPr>
      <xdr:spPr>
        <a:xfrm>
          <a:off x="8134350" y="781050"/>
          <a:ext cx="2800350" cy="2762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1590675</xdr:colOff>
      <xdr:row>4</xdr:row>
      <xdr:rowOff>219075</xdr:rowOff>
    </xdr:from>
    <xdr:to>
      <xdr:col>4</xdr:col>
      <xdr:colOff>825500</xdr:colOff>
      <xdr:row>6</xdr:row>
      <xdr:rowOff>53975</xdr:rowOff>
    </xdr:to>
    <xdr:sp macro="" textlink="">
      <xdr:nvSpPr>
        <xdr:cNvPr id="4" name="Rounded Rectangle 3">
          <a:extLst>
            <a:ext uri="{FF2B5EF4-FFF2-40B4-BE49-F238E27FC236}">
              <a16:creationId xmlns:a16="http://schemas.microsoft.com/office/drawing/2014/main" id="{C538EC92-9434-42F6-8F77-8BAF290F3D54}"/>
            </a:ext>
            <a:ext uri="{147F2762-F138-4A5C-976F-8EAC2B608ADB}">
              <a16:predDERef xmlns:a16="http://schemas.microsoft.com/office/drawing/2014/main" pred="{B49953DA-BE2D-4E12-A723-CA4E0877EB57}"/>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BYWZ3bjIwY1c5U0tWUEVIdlQ4NEhIQVgwQTBGRlc0bWJGQi1xMm44aW01Q0U&quot;}"/>
            </a:ext>
          </a:extLst>
        </xdr:cNvPr>
        <xdr:cNvSpPr/>
      </xdr:nvSpPr>
      <xdr:spPr>
        <a:xfrm>
          <a:off x="6191250" y="1285875"/>
          <a:ext cx="1358900" cy="292100"/>
        </a:xfrm>
        <a:prstGeom prst="roundRect">
          <a:avLst/>
        </a:prstGeom>
        <a:ln/>
      </xdr:spPr>
      <xdr:style>
        <a:lnRef idx="0">
          <a:schemeClr val="accent6"/>
        </a:lnRef>
        <a:fillRef idx="3">
          <a:schemeClr val="accent6"/>
        </a:fillRef>
        <a:effectRef idx="3">
          <a:schemeClr val="accent6"/>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100">
              <a:solidFill>
                <a:schemeClr val="lt1"/>
              </a:solidFill>
              <a:latin typeface="+mn-lt"/>
              <a:ea typeface="+mn-lt"/>
              <a:cs typeface="+mn-lt"/>
            </a:rPr>
            <a:t>Run Table</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Check</a:t>
          </a:r>
        </a:p>
      </xdr:txBody>
    </xdr:sp>
    <xdr:clientData/>
  </xdr:twoCellAnchor>
  <xdr:twoCellAnchor>
    <xdr:from>
      <xdr:col>3</xdr:col>
      <xdr:colOff>495300</xdr:colOff>
      <xdr:row>6</xdr:row>
      <xdr:rowOff>209550</xdr:rowOff>
    </xdr:from>
    <xdr:to>
      <xdr:col>4</xdr:col>
      <xdr:colOff>962025</xdr:colOff>
      <xdr:row>12</xdr:row>
      <xdr:rowOff>85725</xdr:rowOff>
    </xdr:to>
    <xdr:sp macro="" textlink="">
      <xdr:nvSpPr>
        <xdr:cNvPr id="5" name="Rounded Rectangular Callout 4">
          <a:extLst>
            <a:ext uri="{FF2B5EF4-FFF2-40B4-BE49-F238E27FC236}">
              <a16:creationId xmlns:a16="http://schemas.microsoft.com/office/drawing/2014/main" id="{9C8CA8DB-B8A8-066E-EDA6-D039B140F5FE}"/>
            </a:ext>
            <a:ext uri="{147F2762-F138-4A5C-976F-8EAC2B608ADB}">
              <a16:predDERef xmlns:a16="http://schemas.microsoft.com/office/drawing/2014/main" pred="{C538EC92-9434-42F6-8F77-8BAF290F3D54}"/>
            </a:ext>
          </a:extLst>
        </xdr:cNvPr>
        <xdr:cNvSpPr/>
      </xdr:nvSpPr>
      <xdr:spPr>
        <a:xfrm>
          <a:off x="5248275" y="17335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time new information is added</a:t>
          </a:r>
        </a:p>
      </xdr:txBody>
    </xdr:sp>
    <xdr:clientData/>
  </xdr:twoCellAnchor>
  <xdr:twoCellAnchor>
    <xdr:from>
      <xdr:col>4</xdr:col>
      <xdr:colOff>876300</xdr:colOff>
      <xdr:row>5</xdr:row>
      <xdr:rowOff>66675</xdr:rowOff>
    </xdr:from>
    <xdr:to>
      <xdr:col>4</xdr:col>
      <xdr:colOff>1362075</xdr:colOff>
      <xdr:row>9</xdr:row>
      <xdr:rowOff>85725</xdr:rowOff>
    </xdr:to>
    <xdr:sp macro="" textlink="">
      <xdr:nvSpPr>
        <xdr:cNvPr id="6" name="Curved Right Arrow 5">
          <a:extLst>
            <a:ext uri="{FF2B5EF4-FFF2-40B4-BE49-F238E27FC236}">
              <a16:creationId xmlns:a16="http://schemas.microsoft.com/office/drawing/2014/main" id="{E9BB9DDA-A5CF-FE33-56FC-1BD7C1941515}"/>
            </a:ext>
            <a:ext uri="{147F2762-F138-4A5C-976F-8EAC2B608ADB}">
              <a16:predDERef xmlns:a16="http://schemas.microsoft.com/office/drawing/2014/main" pred="{9C8CA8DB-B8A8-066E-EDA6-D039B140F5FE}"/>
            </a:ext>
          </a:extLst>
        </xdr:cNvPr>
        <xdr:cNvSpPr/>
      </xdr:nvSpPr>
      <xdr:spPr>
        <a:xfrm rot="10549211">
          <a:off x="7753350" y="1362075"/>
          <a:ext cx="485775" cy="914400"/>
        </a:xfrm>
        <a:prstGeom prst="curv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solidFill>
              <a:schemeClr val="tx1"/>
            </a:solidFill>
          </a:endParaRPr>
        </a:p>
      </xdr:txBody>
    </xdr:sp>
    <xdr:clientData/>
  </xdr:twoCellAnchor>
  <xdr:twoCellAnchor>
    <xdr:from>
      <xdr:col>3</xdr:col>
      <xdr:colOff>1343025</xdr:colOff>
      <xdr:row>3</xdr:row>
      <xdr:rowOff>47625</xdr:rowOff>
    </xdr:from>
    <xdr:to>
      <xdr:col>4</xdr:col>
      <xdr:colOff>1085850</xdr:colOff>
      <xdr:row>4</xdr:row>
      <xdr:rowOff>111125</xdr:rowOff>
    </xdr:to>
    <xdr:sp macro="" textlink="">
      <xdr:nvSpPr>
        <xdr:cNvPr id="2" name="Rounded Rectangle 1">
          <a:extLst>
            <a:ext uri="{FF2B5EF4-FFF2-40B4-BE49-F238E27FC236}">
              <a16:creationId xmlns:a16="http://schemas.microsoft.com/office/drawing/2014/main" id="{B405CCC7-AFBD-43CD-8A14-2F4044DC83E1}"/>
            </a:ext>
            <a:ext uri="{147F2762-F138-4A5C-976F-8EAC2B608ADB}">
              <a16:predDERef xmlns:a16="http://schemas.microsoft.com/office/drawing/2014/main" pred="{E9BB9DDA-A5CF-FE33-56FC-1BD7C1941515}"/>
            </a:ext>
            <a:ext uri="{6ECC49D1-AA05-4338-93AA-15A1B29DFB0A}">
              <asl:scriptLink xmlns:asl="http://schemas.microsoft.com/office/drawing/2021/scriptlink" val="{&quot;shareId&quot;:&quot;ms-officescript%3A%2F%2Fonedrive_business_sharinglink%2Fu!aHR0cHM6Ly9ldHJheHhkdWVzc2VsZG9yZi1teS5zaGFyZXBvaW50LmNvbS86dTovZy9wZXJzb25hbC9kcmV4bGVyX2UtdHJheHhfZXUvSVFEY0JvZE5QYnZIUVlCaFN5RnFGMElyQVotWDhKd3dBanFQTlBMVnB2bmJsZkU&quot;}"/>
            </a:ext>
          </a:extLst>
        </xdr:cNvPr>
        <xdr:cNvSpPr/>
      </xdr:nvSpPr>
      <xdr:spPr>
        <a:xfrm>
          <a:off x="6096000" y="885825"/>
          <a:ext cx="1866900" cy="29210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a:t>Run Add to Central List</a:t>
          </a:r>
        </a:p>
      </xdr:txBody>
    </xdr:sp>
    <xdr:clientData/>
  </xdr:twoCellAnchor>
  <xdr:twoCellAnchor>
    <xdr:from>
      <xdr:col>6</xdr:col>
      <xdr:colOff>209550</xdr:colOff>
      <xdr:row>1</xdr:row>
      <xdr:rowOff>57150</xdr:rowOff>
    </xdr:from>
    <xdr:to>
      <xdr:col>8</xdr:col>
      <xdr:colOff>133350</xdr:colOff>
      <xdr:row>6</xdr:row>
      <xdr:rowOff>66675</xdr:rowOff>
    </xdr:to>
    <xdr:sp macro="" textlink="">
      <xdr:nvSpPr>
        <xdr:cNvPr id="3" name="Rounded Rectangular Callout 2">
          <a:extLst>
            <a:ext uri="{FF2B5EF4-FFF2-40B4-BE49-F238E27FC236}">
              <a16:creationId xmlns:a16="http://schemas.microsoft.com/office/drawing/2014/main" id="{4852504C-C962-4C6D-81C9-9B6851C8DC59}"/>
            </a:ext>
            <a:ext uri="{147F2762-F138-4A5C-976F-8EAC2B608ADB}">
              <a16:predDERef xmlns:a16="http://schemas.microsoft.com/office/drawing/2014/main" pred="{B405CCC7-AFBD-43CD-8A14-2F4044DC83E1}"/>
            </a:ext>
          </a:extLst>
        </xdr:cNvPr>
        <xdr:cNvSpPr/>
      </xdr:nvSpPr>
      <xdr:spPr>
        <a:xfrm>
          <a:off x="10829925" y="32385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Press this button each once you're done editing the table</a:t>
          </a:r>
        </a:p>
      </xdr:txBody>
    </xdr:sp>
    <xdr:clientData/>
  </xdr:twoCellAnchor>
  <xdr:twoCellAnchor>
    <xdr:from>
      <xdr:col>6</xdr:col>
      <xdr:colOff>542925</xdr:colOff>
      <xdr:row>7</xdr:row>
      <xdr:rowOff>38100</xdr:rowOff>
    </xdr:from>
    <xdr:to>
      <xdr:col>8</xdr:col>
      <xdr:colOff>466725</xdr:colOff>
      <xdr:row>12</xdr:row>
      <xdr:rowOff>142875</xdr:rowOff>
    </xdr:to>
    <xdr:sp macro="" textlink="">
      <xdr:nvSpPr>
        <xdr:cNvPr id="7" name="Rounded Rectangular Callout 6">
          <a:extLst>
            <a:ext uri="{FF2B5EF4-FFF2-40B4-BE49-F238E27FC236}">
              <a16:creationId xmlns:a16="http://schemas.microsoft.com/office/drawing/2014/main" id="{D259805E-20EF-4233-9B75-06AB1BE10CE7}"/>
            </a:ext>
            <a:ext uri="{147F2762-F138-4A5C-976F-8EAC2B608ADB}">
              <a16:predDERef xmlns:a16="http://schemas.microsoft.com/office/drawing/2014/main" pred="{4852504C-C962-4C6D-81C9-9B6851C8DC59}"/>
            </a:ext>
          </a:extLst>
        </xdr:cNvPr>
        <xdr:cNvSpPr/>
      </xdr:nvSpPr>
      <xdr:spPr>
        <a:xfrm>
          <a:off x="11163300" y="1790700"/>
          <a:ext cx="2590800" cy="12668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4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The script will replace the previous information in the central list if the part name is identical</a:t>
          </a:r>
        </a:p>
      </xdr:txBody>
    </xdr:sp>
    <xdr:clientData/>
  </xdr:twoCellAnchor>
  <xdr:twoCellAnchor>
    <xdr:from>
      <xdr:col>4</xdr:col>
      <xdr:colOff>1257300</xdr:colOff>
      <xdr:row>2</xdr:row>
      <xdr:rowOff>180975</xdr:rowOff>
    </xdr:from>
    <xdr:to>
      <xdr:col>6</xdr:col>
      <xdr:colOff>123825</xdr:colOff>
      <xdr:row>3</xdr:row>
      <xdr:rowOff>219075</xdr:rowOff>
    </xdr:to>
    <xdr:sp macro="" textlink="">
      <xdr:nvSpPr>
        <xdr:cNvPr id="8" name="Left Arrow 7">
          <a:extLst>
            <a:ext uri="{FF2B5EF4-FFF2-40B4-BE49-F238E27FC236}">
              <a16:creationId xmlns:a16="http://schemas.microsoft.com/office/drawing/2014/main" id="{94FBD7F6-2966-EC49-1D40-814001220FE1}"/>
            </a:ext>
            <a:ext uri="{147F2762-F138-4A5C-976F-8EAC2B608ADB}">
              <a16:predDERef xmlns:a16="http://schemas.microsoft.com/office/drawing/2014/main" pred="{D259805E-20EF-4233-9B75-06AB1BE10CE7}"/>
            </a:ext>
          </a:extLst>
        </xdr:cNvPr>
        <xdr:cNvSpPr/>
      </xdr:nvSpPr>
      <xdr:spPr>
        <a:xfrm>
          <a:off x="8134350" y="781050"/>
          <a:ext cx="2800350" cy="2762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1</xdr:col>
      <xdr:colOff>381000</xdr:colOff>
      <xdr:row>0</xdr:row>
      <xdr:rowOff>47625</xdr:rowOff>
    </xdr:from>
    <xdr:to>
      <xdr:col>6</xdr:col>
      <xdr:colOff>466725</xdr:colOff>
      <xdr:row>110</xdr:row>
      <xdr:rowOff>66675</xdr:rowOff>
    </xdr:to>
    <xdr:sp macro="" textlink="">
      <xdr:nvSpPr>
        <xdr:cNvPr id="9" name="Rounded Rectangular Callout 8">
          <a:extLst>
            <a:ext uri="{FF2B5EF4-FFF2-40B4-BE49-F238E27FC236}">
              <a16:creationId xmlns:a16="http://schemas.microsoft.com/office/drawing/2014/main" id="{22DBB69A-1AC7-4564-9E50-5D50CC19006A}"/>
            </a:ext>
            <a:ext uri="{147F2762-F138-4A5C-976F-8EAC2B608ADB}">
              <a16:predDERef xmlns:a16="http://schemas.microsoft.com/office/drawing/2014/main" pred="{94FBD7F6-2966-EC49-1D40-814001220FE1}"/>
            </a:ext>
          </a:extLst>
        </xdr:cNvPr>
        <xdr:cNvSpPr/>
      </xdr:nvSpPr>
      <xdr:spPr>
        <a:xfrm>
          <a:off x="1066800" y="47625"/>
          <a:ext cx="10210800" cy="483870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72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Don't Touch! this is a back-up!</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10</xdr:col>
      <xdr:colOff>0</xdr:colOff>
      <xdr:row>9</xdr:row>
      <xdr:rowOff>247650</xdr:rowOff>
    </xdr:to>
    <xdr:sp macro="" textlink="">
      <xdr:nvSpPr>
        <xdr:cNvPr id="2" name="Rounded Rectangular Callout 1">
          <a:extLst>
            <a:ext uri="{FF2B5EF4-FFF2-40B4-BE49-F238E27FC236}">
              <a16:creationId xmlns:a16="http://schemas.microsoft.com/office/drawing/2014/main" id="{44D1C301-64DC-474B-A660-1F3D5A1467F1}"/>
            </a:ext>
            <a:ext uri="{147F2762-F138-4A5C-976F-8EAC2B608ADB}">
              <a16:predDERef xmlns:a16="http://schemas.microsoft.com/office/drawing/2014/main" pred="{94FBD7F6-2966-EC49-1D40-814001220FE1}"/>
            </a:ext>
          </a:extLst>
        </xdr:cNvPr>
        <xdr:cNvSpPr/>
      </xdr:nvSpPr>
      <xdr:spPr>
        <a:xfrm>
          <a:off x="609600" y="190500"/>
          <a:ext cx="10210800" cy="483870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72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Don't Touch! this is a part of the script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85725</xdr:rowOff>
    </xdr:from>
    <xdr:to>
      <xdr:col>6</xdr:col>
      <xdr:colOff>304800</xdr:colOff>
      <xdr:row>12</xdr:row>
      <xdr:rowOff>409575</xdr:rowOff>
    </xdr:to>
    <xdr:sp macro="" textlink="">
      <xdr:nvSpPr>
        <xdr:cNvPr id="2" name="Rounded Rectangular Callout 1">
          <a:extLst>
            <a:ext uri="{FF2B5EF4-FFF2-40B4-BE49-F238E27FC236}">
              <a16:creationId xmlns:a16="http://schemas.microsoft.com/office/drawing/2014/main" id="{6155FED7-ED69-427A-90BD-AF00A4C64772}"/>
            </a:ext>
            <a:ext uri="{147F2762-F138-4A5C-976F-8EAC2B608ADB}">
              <a16:predDERef xmlns:a16="http://schemas.microsoft.com/office/drawing/2014/main" pred="{94FBD7F6-2966-EC49-1D40-814001220FE1}"/>
            </a:ext>
          </a:extLst>
        </xdr:cNvPr>
        <xdr:cNvSpPr/>
      </xdr:nvSpPr>
      <xdr:spPr>
        <a:xfrm>
          <a:off x="0" y="85725"/>
          <a:ext cx="10210800" cy="483870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72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Don't Touch! this is a part of the script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266700</xdr:colOff>
      <xdr:row>1</xdr:row>
      <xdr:rowOff>95250</xdr:rowOff>
    </xdr:from>
    <xdr:to>
      <xdr:col>7</xdr:col>
      <xdr:colOff>114300</xdr:colOff>
      <xdr:row>12</xdr:row>
      <xdr:rowOff>361950</xdr:rowOff>
    </xdr:to>
    <xdr:sp macro="" textlink="">
      <xdr:nvSpPr>
        <xdr:cNvPr id="2" name="Rounded Rectangular Callout 1">
          <a:extLst>
            <a:ext uri="{FF2B5EF4-FFF2-40B4-BE49-F238E27FC236}">
              <a16:creationId xmlns:a16="http://schemas.microsoft.com/office/drawing/2014/main" id="{4F03E78B-BBF3-472D-B822-75D9634E2B49}"/>
            </a:ext>
            <a:ext uri="{147F2762-F138-4A5C-976F-8EAC2B608ADB}">
              <a16:predDERef xmlns:a16="http://schemas.microsoft.com/office/drawing/2014/main" pred="{94FBD7F6-2966-EC49-1D40-814001220FE1}"/>
            </a:ext>
          </a:extLst>
        </xdr:cNvPr>
        <xdr:cNvSpPr/>
      </xdr:nvSpPr>
      <xdr:spPr>
        <a:xfrm>
          <a:off x="266700" y="285750"/>
          <a:ext cx="10210800" cy="483870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72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Don't Touch! this is a part of the script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390525</xdr:colOff>
      <xdr:row>1</xdr:row>
      <xdr:rowOff>295275</xdr:rowOff>
    </xdr:from>
    <xdr:to>
      <xdr:col>9</xdr:col>
      <xdr:colOff>390525</xdr:colOff>
      <xdr:row>9</xdr:row>
      <xdr:rowOff>219075</xdr:rowOff>
    </xdr:to>
    <xdr:sp macro="" textlink="">
      <xdr:nvSpPr>
        <xdr:cNvPr id="3" name="Rounded Rectangular Callout 2">
          <a:extLst>
            <a:ext uri="{FF2B5EF4-FFF2-40B4-BE49-F238E27FC236}">
              <a16:creationId xmlns:a16="http://schemas.microsoft.com/office/drawing/2014/main" id="{439D147E-26E6-4FD4-BBA1-7A6101E3E8EF}"/>
            </a:ext>
            <a:ext uri="{147F2762-F138-4A5C-976F-8EAC2B608ADB}">
              <a16:predDERef xmlns:a16="http://schemas.microsoft.com/office/drawing/2014/main" pred="{94FBD7F6-2966-EC49-1D40-814001220FE1}"/>
            </a:ext>
          </a:extLst>
        </xdr:cNvPr>
        <xdr:cNvSpPr/>
      </xdr:nvSpPr>
      <xdr:spPr>
        <a:xfrm>
          <a:off x="390525" y="485775"/>
          <a:ext cx="10210800" cy="483870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7200" b="1"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Don't Touch! this is a part of the script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29D945E-B918-4A4B-B225-F65DB3A0A2FA}" name="Table7" displayName="Table7" ref="A1:M7" totalsRowShown="0">
  <autoFilter ref="A1:M7" xr:uid="{129D945E-B918-4A4B-B225-F65DB3A0A2FA}"/>
  <tableColumns count="13">
    <tableColumn id="1" xr3:uid="{387A8D6F-A038-44D0-84EC-197A27A04957}" name="Assembly"/>
    <tableColumn id="2" xr3:uid="{1A710D5E-E0DE-4F9D-833C-A66C33E7C1DB}" name="Part Name"/>
    <tableColumn id="3" xr3:uid="{9A339891-AF45-4167-9884-A8B9068EA4C4}" name="Internal Link?" dataDxfId="54"/>
    <tableColumn id="4" xr3:uid="{1402BD73-3D5A-47E0-BC00-F2036357EECB}" name="External Links?"/>
    <tableColumn id="5" xr3:uid="{8FD5ABCA-6417-403C-BB4B-C98B1EE90527}" name="Make or Buy?"/>
    <tableColumn id="6" xr3:uid="{F105850E-2024-4E15-A463-1C8CBD14CBF7}" name="Worth today? (for FSCH)"/>
    <tableColumn id="7" xr3:uid="{286C8794-E30E-466D-93DA-20CFC4CAECAE}" name="Quantity?"/>
    <tableColumn id="8" xr3:uid="{4A9A6A1A-A019-4DC6-A623-AB42B6DF96E7}" name="Weight in kg"/>
    <tableColumn id="9" xr3:uid="{B14CE78B-5E50-4810-BFA1-0BA3F9AACAB2}" name="Product life cycle (years)"/>
    <tableColumn id="10" xr3:uid="{AF24355A-FE64-4624-BD45-7FEB775088CC}" name="Storage costs?"/>
    <tableColumn id="11" xr3:uid="{2D7748E0-F169-4FE4-944E-AEF7A581A6A9}" name="Total CO2e"/>
    <tableColumn id="14" xr3:uid="{09C3C9CF-EC18-476B-B235-7F7B33FABDC4}" name="Total costs"/>
    <tableColumn id="13" xr3:uid="{1C0B0582-61A9-417B-A8A5-4946798FC167}" name="Link to Sheet"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0000A1-CB25-4C3E-8958-F9069426A39F}" name="Table2" displayName="Table2" ref="B3:E78" totalsRowShown="0" dataDxfId="21">
  <autoFilter ref="B3:E78" xr:uid="{600000A1-CB25-4C3E-8958-F9069426A39F}"/>
  <sortState xmlns:xlrd2="http://schemas.microsoft.com/office/spreadsheetml/2017/richdata2" ref="B4:E78">
    <sortCondition ref="C3:C78"/>
  </sortState>
  <tableColumns count="4">
    <tableColumn id="1" xr3:uid="{7248420C-B6CB-4987-A8E7-017B0EB0B823}" name="Category" dataDxfId="20"/>
    <tableColumn id="2" xr3:uid="{9C6D0A4B-E09E-4680-888F-0D658624975A}" name="Process" dataDxfId="19"/>
    <tableColumn id="3" xr3:uid="{DF50C38A-59F0-4DF3-9CAA-0FAFC0A378E1}" name="German Translation" dataDxfId="18"/>
    <tableColumn id="4" xr3:uid="{4C2731BD-6DBF-49B0-96A6-F18CC4E80A52}" name="Description"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28FA47-F6EB-4CB2-80B2-FF6E390AF719}" name="Table3" displayName="Table3" ref="B3:E56" totalsRowShown="0" dataDxfId="16">
  <autoFilter ref="B3:E56" xr:uid="{2A28FA47-F6EB-4CB2-80B2-FF6E390AF719}"/>
  <tableColumns count="4">
    <tableColumn id="1" xr3:uid="{708AA6A1-F48A-415D-AD8D-C1F863682976}" name="Category" dataDxfId="15"/>
    <tableColumn id="2" xr3:uid="{530D026C-EECB-48E6-8D10-DB56686B8DA4}" name="Material" dataDxfId="14"/>
    <tableColumn id="3" xr3:uid="{19905A39-151E-4D60-83AA-6018512873BE}" name="German Translation" dataDxfId="13"/>
    <tableColumn id="4" xr3:uid="{54CB92C7-6669-4EA9-A4B1-C4778BB5524B}" name="Short Description" dataDxfId="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DAC15-6F82-48D1-BBA5-0AEFA1EADE52}" name="Table6" displayName="Table6" ref="B2:E16" totalsRowShown="0" headerRowDxfId="11" dataDxfId="10">
  <autoFilter ref="B2:E16" xr:uid="{A32DAC15-6F82-48D1-BBA5-0AEFA1EADE52}"/>
  <tableColumns count="4">
    <tableColumn id="1" xr3:uid="{B50C6C06-4055-4DDE-879E-414C2CDF1C32}" name="Category" dataDxfId="9"/>
    <tableColumn id="2" xr3:uid="{54B78AF0-A8EC-42E7-BA66-7F8D651B242A}" name="Process" dataDxfId="8"/>
    <tableColumn id="3" xr3:uid="{58C0E507-6F2B-4BD5-BC1E-FF4A2555DAD9}" name="German Translation" dataDxfId="7"/>
    <tableColumn id="4" xr3:uid="{12C98072-2702-4371-A41A-CCD502D3BAF9}" name="Description"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E034595-6428-40A4-9ED1-41D93BBB89AF}" name="Table5" displayName="Table5" ref="B2:E11" totalsRowShown="0" headerRowDxfId="5" dataDxfId="4">
  <autoFilter ref="B2:E11" xr:uid="{4E034595-6428-40A4-9ED1-41D93BBB89AF}"/>
  <tableColumns count="4">
    <tableColumn id="1" xr3:uid="{CE78BC15-4BB6-4DF7-8957-5653A0DAC79B}" name="Category" dataDxfId="3"/>
    <tableColumn id="2" xr3:uid="{81A5E046-4C3C-42DC-A806-9821727E996D}" name="Process" dataDxfId="2"/>
    <tableColumn id="3" xr3:uid="{CC60D81C-025E-47C0-867A-8CEDC2112FB6}" name="German Translation" dataDxfId="1"/>
    <tableColumn id="4" xr3:uid="{FE0F6448-0C8B-4FAA-B8CF-829431E5D9E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gemini.google.com/share/e65b6c36e699" TargetMode="External"/><Relationship Id="rId7" Type="http://schemas.openxmlformats.org/officeDocument/2006/relationships/drawing" Target="../drawings/drawing1.xml"/><Relationship Id="rId2" Type="http://schemas.openxmlformats.org/officeDocument/2006/relationships/hyperlink" Target="https://gemini.google.com/share/61ee60beb118" TargetMode="External"/><Relationship Id="rId1" Type="http://schemas.openxmlformats.org/officeDocument/2006/relationships/hyperlink" Target="https://metall-fachhandel.de/" TargetMode="External"/><Relationship Id="rId6" Type="http://schemas.openxmlformats.org/officeDocument/2006/relationships/hyperlink" Target="https://norelem.de/de/Produkt%C3%BCbersicht/Flexibles-Normteilesystem/07000/Muttern-Schrauben-Unterlegscheiben-Sicherungselemente/Zylinderschrauben-mit-Innensechskant-DIN-EN-ISO-4762-erweitert-Stahl-oder-Edelstahl/p/agid.32101" TargetMode="External"/><Relationship Id="rId5" Type="http://schemas.openxmlformats.org/officeDocument/2006/relationships/hyperlink" Target="https://norelem.de/de/Produkt%C3%BCbersicht/Flexibles-Normteilesystem/07000/Muttern-Schrauben-Unterlegscheiben-Sicherungselemente/Zylinderschrauben-mit-Innensechskant-DIN-EN-ISO-4762-erweitert-Stahl-oder-Edelstahl/p/agid.32101" TargetMode="External"/><Relationship Id="rId4" Type="http://schemas.openxmlformats.org/officeDocument/2006/relationships/hyperlink" Target="https://norelem.de/de/Produkt%C3%BCbersicht/Flexibles-Normteilesystem/07000/Muttern-Schrauben-Unterlegscheiben-Sicherungselemente/Sechskantmuttern-mit-Polyamid-Klemmteil-niedrige-Form-DIN-985-erweitert/p/agid.18389"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8D0F9-3992-481E-9F96-7870ACDFC683}">
  <sheetPr>
    <tabColor rgb="FF92D050"/>
  </sheetPr>
  <dimension ref="A1:Q13"/>
  <sheetViews>
    <sheetView workbookViewId="0">
      <selection activeCell="U10" sqref="U10"/>
    </sheetView>
  </sheetViews>
  <sheetFormatPr defaultRowHeight="15"/>
  <cols>
    <col min="1" max="1" width="21.42578125" customWidth="1"/>
    <col min="2" max="2" width="12.85546875" bestFit="1" customWidth="1"/>
    <col min="3" max="3" width="15.7109375" bestFit="1" customWidth="1"/>
    <col min="4" max="4" width="16.85546875" bestFit="1" customWidth="1"/>
    <col min="5" max="5" width="15.85546875" bestFit="1" customWidth="1"/>
    <col min="6" max="6" width="25.5703125" bestFit="1" customWidth="1"/>
    <col min="7" max="7" width="12.28515625" bestFit="1" customWidth="1"/>
    <col min="8" max="8" width="14.5703125" bestFit="1" customWidth="1"/>
    <col min="9" max="9" width="25.5703125" hidden="1" customWidth="1"/>
    <col min="10" max="10" width="16.42578125" bestFit="1" customWidth="1"/>
    <col min="11" max="11" width="13.140625" bestFit="1" customWidth="1"/>
    <col min="12" max="12" width="13.140625" customWidth="1"/>
    <col min="13" max="13" width="20" customWidth="1"/>
    <col min="14" max="14" width="13" customWidth="1"/>
    <col min="17" max="17" width="23.140625" customWidth="1"/>
  </cols>
  <sheetData>
    <row r="1" spans="1:17" ht="27" customHeight="1">
      <c r="A1" t="s">
        <v>0</v>
      </c>
      <c r="B1" t="s">
        <v>1</v>
      </c>
      <c r="C1" t="s">
        <v>2</v>
      </c>
      <c r="D1" t="s">
        <v>3</v>
      </c>
      <c r="E1" t="s">
        <v>4</v>
      </c>
      <c r="F1" t="s">
        <v>5</v>
      </c>
      <c r="G1" t="s">
        <v>6</v>
      </c>
      <c r="H1" t="s">
        <v>7</v>
      </c>
      <c r="I1" s="46" t="s">
        <v>8</v>
      </c>
      <c r="J1" t="s">
        <v>9</v>
      </c>
      <c r="K1" t="s">
        <v>10</v>
      </c>
      <c r="L1" t="s">
        <v>11</v>
      </c>
      <c r="M1" t="s">
        <v>12</v>
      </c>
    </row>
    <row r="2" spans="1:17">
      <c r="A2" t="s">
        <v>13</v>
      </c>
      <c r="B2" t="s">
        <v>14</v>
      </c>
      <c r="C2" t="s">
        <v>15</v>
      </c>
      <c r="E2" t="s">
        <v>16</v>
      </c>
      <c r="F2">
        <v>0.25</v>
      </c>
      <c r="G2">
        <v>1</v>
      </c>
      <c r="I2" t="s">
        <v>17</v>
      </c>
      <c r="M2" s="57" t="s">
        <v>18</v>
      </c>
    </row>
    <row r="3" spans="1:17">
      <c r="A3" t="s">
        <v>19</v>
      </c>
      <c r="B3" t="s">
        <v>20</v>
      </c>
      <c r="C3" t="s">
        <v>21</v>
      </c>
      <c r="D3" t="s">
        <v>22</v>
      </c>
      <c r="E3" t="s">
        <v>23</v>
      </c>
      <c r="F3">
        <v>0</v>
      </c>
      <c r="G3">
        <v>1</v>
      </c>
      <c r="I3" t="s">
        <v>17</v>
      </c>
      <c r="M3" s="57" t="s">
        <v>18</v>
      </c>
    </row>
    <row r="4" spans="1:17">
      <c r="A4" t="s">
        <v>24</v>
      </c>
      <c r="B4" t="s">
        <v>25</v>
      </c>
      <c r="E4" t="s">
        <v>23</v>
      </c>
      <c r="G4">
        <v>1</v>
      </c>
      <c r="I4" t="s">
        <v>17</v>
      </c>
      <c r="M4" s="57" t="s">
        <v>18</v>
      </c>
    </row>
    <row r="5" spans="1:17" ht="21">
      <c r="C5" s="47"/>
      <c r="M5" s="44"/>
      <c r="Q5" s="51" t="s">
        <v>26</v>
      </c>
    </row>
    <row r="6" spans="1:17">
      <c r="C6" s="47"/>
      <c r="M6" s="44"/>
      <c r="Q6" s="50" t="s">
        <v>27</v>
      </c>
    </row>
    <row r="7" spans="1:17">
      <c r="C7" s="47"/>
      <c r="M7" s="44"/>
      <c r="Q7" s="52" t="s">
        <v>28</v>
      </c>
    </row>
    <row r="8" spans="1:17">
      <c r="C8" s="47"/>
      <c r="M8" s="44"/>
    </row>
    <row r="9" spans="1:17">
      <c r="C9" s="47"/>
      <c r="M9" s="44"/>
      <c r="Q9" s="54" t="s">
        <v>29</v>
      </c>
    </row>
    <row r="10" spans="1:17">
      <c r="C10" s="47"/>
      <c r="M10" s="44"/>
      <c r="Q10" s="55" t="s">
        <v>30</v>
      </c>
    </row>
    <row r="11" spans="1:17">
      <c r="Q11" s="56" t="s">
        <v>31</v>
      </c>
    </row>
    <row r="13" spans="1:17">
      <c r="Q13" s="53" t="s">
        <v>32</v>
      </c>
    </row>
  </sheetData>
  <conditionalFormatting sqref="A2:J7 L2:M7">
    <cfRule type="containsBlanks" dxfId="55" priority="1">
      <formula>LEN(TRIM(A2))=0</formula>
    </cfRule>
  </conditionalFormatting>
  <hyperlinks>
    <hyperlink ref="M4" location="'TSAL-LED circuit board'!A1" display="Go to Sheet" xr:uid="{26BD3329-9112-4CB5-BEEE-26BA17DAA585}"/>
    <hyperlink ref="M3" location="'TS-control Circuit board'!A1" display="Go to Sheet" xr:uid="{7ECA79E4-23A3-4AC5-BB8C-EC7FB10F247A}"/>
    <hyperlink ref="M2" location="'Catch Can'!A1" display="Go to Sheet" xr:uid="{2FE8A746-5ACB-4F99-9374-EB3948DF397F}"/>
  </hyperlink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E6C9-3A40-44C8-AC3F-7F1D3F6AA907}">
  <sheetPr codeName="Sheet24">
    <tabColor rgb="FF7030A0"/>
  </sheetPr>
  <dimension ref="A1:J103"/>
  <sheetViews>
    <sheetView tabSelected="1" zoomScale="55" zoomScaleNormal="55" workbookViewId="0">
      <selection activeCell="C40" sqref="C40"/>
    </sheetView>
  </sheetViews>
  <sheetFormatPr defaultRowHeight="15"/>
  <cols>
    <col min="1" max="1" width="10.28515625" customWidth="1"/>
    <col min="2" max="2" width="43" customWidth="1"/>
    <col min="3" max="3" width="32.140625" customWidth="1"/>
    <col min="4" max="4" width="36.85546875" customWidth="1"/>
    <col min="5" max="5" width="36.140625" customWidth="1"/>
    <col min="6" max="6" width="32.140625" customWidth="1"/>
    <col min="7" max="7" width="24" customWidth="1"/>
    <col min="8" max="10" width="16" customWidth="1"/>
  </cols>
  <sheetData>
    <row r="1" spans="1:8" ht="21">
      <c r="A1" s="22" t="s">
        <v>33</v>
      </c>
      <c r="B1" s="23" t="s">
        <v>34</v>
      </c>
      <c r="C1" s="24" t="s">
        <v>35</v>
      </c>
      <c r="D1" s="25" t="s">
        <v>36</v>
      </c>
      <c r="E1" s="26"/>
      <c r="F1" s="26"/>
      <c r="G1" s="26"/>
      <c r="H1" s="26"/>
    </row>
    <row r="2" spans="1:8" ht="26.25">
      <c r="A2" s="26"/>
      <c r="B2" s="27" t="s">
        <v>37</v>
      </c>
      <c r="C2" s="31" t="s">
        <v>38</v>
      </c>
      <c r="D2" s="67" t="s">
        <v>39</v>
      </c>
      <c r="E2" s="68"/>
      <c r="F2" s="69"/>
      <c r="G2" s="30"/>
      <c r="H2" s="30"/>
    </row>
    <row r="3" spans="1:8" ht="18.75">
      <c r="B3" s="29" t="s">
        <v>2</v>
      </c>
      <c r="C3" s="28" t="s">
        <v>40</v>
      </c>
    </row>
    <row r="4" spans="1:8" ht="18" customHeight="1">
      <c r="B4" s="29" t="s">
        <v>3</v>
      </c>
      <c r="C4" s="28"/>
    </row>
    <row r="5" spans="1:8" ht="18" customHeight="1">
      <c r="B5" s="29" t="s">
        <v>4</v>
      </c>
      <c r="C5" s="28" t="s">
        <v>16</v>
      </c>
      <c r="F5" s="39" t="s">
        <v>41</v>
      </c>
    </row>
    <row r="6" spans="1:8" ht="18" customHeight="1">
      <c r="B6" s="29" t="s">
        <v>5</v>
      </c>
      <c r="C6" s="28"/>
      <c r="F6" s="42" t="s">
        <v>42</v>
      </c>
    </row>
    <row r="7" spans="1:8" ht="18" customHeight="1">
      <c r="B7" s="29" t="s">
        <v>43</v>
      </c>
      <c r="C7" s="28">
        <v>1</v>
      </c>
      <c r="D7" s="33"/>
    </row>
    <row r="8" spans="1:8" ht="18" customHeight="1">
      <c r="B8" s="29" t="s">
        <v>44</v>
      </c>
      <c r="C8" s="28">
        <v>0.1641</v>
      </c>
      <c r="D8" s="33"/>
    </row>
    <row r="9" spans="1:8" ht="16.899999999999999" customHeight="1">
      <c r="B9" s="43" t="s">
        <v>45</v>
      </c>
      <c r="C9" s="28" t="s">
        <v>17</v>
      </c>
      <c r="D9" s="33"/>
    </row>
    <row r="10" spans="1:8" ht="19.899999999999999" customHeight="1">
      <c r="B10" s="29" t="s">
        <v>9</v>
      </c>
      <c r="C10" s="28"/>
      <c r="E10" s="34"/>
    </row>
    <row r="11" spans="1:8" ht="18.75">
      <c r="B11" s="29" t="s">
        <v>46</v>
      </c>
      <c r="C11" s="28"/>
      <c r="E11" s="34"/>
      <c r="F11" s="35"/>
    </row>
    <row r="12" spans="1:8" ht="18.75">
      <c r="B12" s="29" t="s">
        <v>47</v>
      </c>
      <c r="C12" s="28"/>
      <c r="E12" s="34"/>
      <c r="F12" s="34"/>
    </row>
    <row r="13" spans="1:8">
      <c r="F13" s="34"/>
    </row>
    <row r="14" spans="1:8" hidden="1"/>
    <row r="15" spans="1:8" hidden="1"/>
    <row r="16" spans="1:8" hidden="1"/>
    <row r="17" spans="2:5" hidden="1"/>
    <row r="18" spans="2:5" hidden="1"/>
    <row r="19" spans="2:5" ht="15" customHeight="1">
      <c r="B19" s="19" t="s">
        <v>48</v>
      </c>
      <c r="C19" s="20" t="s">
        <v>49</v>
      </c>
    </row>
    <row r="20" spans="2:5">
      <c r="B20" s="20" t="s">
        <v>50</v>
      </c>
      <c r="C20" s="6"/>
    </row>
    <row r="21" spans="2:5">
      <c r="B21" s="20" t="s">
        <v>51</v>
      </c>
      <c r="C21" s="6"/>
    </row>
    <row r="22" spans="2:5">
      <c r="B22" s="20" t="s">
        <v>52</v>
      </c>
      <c r="C22" s="6"/>
    </row>
    <row r="23" spans="2:5" hidden="1"/>
    <row r="24" spans="2:5" hidden="1"/>
    <row r="25" spans="2:5" hidden="1">
      <c r="B25" s="18" t="s">
        <v>53</v>
      </c>
      <c r="C25" s="14"/>
    </row>
    <row r="26" spans="2:5" ht="45.75" hidden="1">
      <c r="B26" s="17" t="s">
        <v>54</v>
      </c>
    </row>
    <row r="27" spans="2:5" hidden="1">
      <c r="B27" s="6" t="s">
        <v>55</v>
      </c>
      <c r="C27" s="45"/>
      <c r="E27" s="1"/>
    </row>
    <row r="28" spans="2:5" hidden="1">
      <c r="E28" s="1"/>
    </row>
    <row r="29" spans="2:5" hidden="1">
      <c r="E29" s="1"/>
    </row>
    <row r="30" spans="2:5" hidden="1">
      <c r="B30" s="18" t="s">
        <v>56</v>
      </c>
      <c r="C30" s="15"/>
      <c r="D30" s="1"/>
    </row>
    <row r="31" spans="2:5" ht="106.5" hidden="1">
      <c r="B31" s="16" t="s">
        <v>57</v>
      </c>
    </row>
    <row r="32" spans="2:5" hidden="1"/>
    <row r="33" spans="2:10" hidden="1"/>
    <row r="34" spans="2:10" hidden="1"/>
    <row r="35" spans="2:10" hidden="1"/>
    <row r="36" spans="2:10" hidden="1"/>
    <row r="37" spans="2:10" hidden="1"/>
    <row r="38" spans="2:10" hidden="1"/>
    <row r="39" spans="2:10">
      <c r="B39" s="21" t="s">
        <v>58</v>
      </c>
    </row>
    <row r="40" spans="2:10">
      <c r="B40" s="7" t="s">
        <v>59</v>
      </c>
      <c r="C40" t="s">
        <v>60</v>
      </c>
    </row>
    <row r="41" spans="2:10" ht="19.149999999999999" customHeight="1">
      <c r="B41" s="2" t="s">
        <v>61</v>
      </c>
      <c r="C41" s="6" t="s">
        <v>52</v>
      </c>
      <c r="D41" s="59" t="s">
        <v>62</v>
      </c>
      <c r="E41" s="6"/>
      <c r="F41" s="6"/>
      <c r="G41" s="6"/>
      <c r="H41" s="6"/>
      <c r="I41" s="6"/>
      <c r="J41" s="40"/>
    </row>
    <row r="42" spans="2:10" ht="16.899999999999999" customHeight="1">
      <c r="B42" s="2"/>
      <c r="C42" s="6" t="s">
        <v>63</v>
      </c>
      <c r="D42" s="6" t="s">
        <v>64</v>
      </c>
      <c r="E42" s="6"/>
      <c r="F42" s="6"/>
      <c r="G42" s="6"/>
      <c r="H42" s="6"/>
      <c r="I42" s="38"/>
      <c r="J42" s="39"/>
    </row>
    <row r="43" spans="2:10" ht="14.45" customHeight="1">
      <c r="B43" s="2"/>
      <c r="C43" s="6" t="s">
        <v>65</v>
      </c>
      <c r="D43" s="6" t="s">
        <v>66</v>
      </c>
      <c r="E43" s="6"/>
      <c r="F43" s="6"/>
      <c r="G43" s="6"/>
      <c r="H43" s="6"/>
      <c r="I43" s="6"/>
      <c r="J43" s="41"/>
    </row>
    <row r="44" spans="2:10">
      <c r="B44" s="2"/>
      <c r="C44" s="6" t="s">
        <v>67</v>
      </c>
      <c r="D44" s="6">
        <v>1</v>
      </c>
      <c r="E44" s="6"/>
      <c r="F44" s="6"/>
      <c r="G44" s="6"/>
      <c r="H44" s="6"/>
      <c r="I44" s="6"/>
      <c r="J44" s="6"/>
    </row>
    <row r="45" spans="2:10">
      <c r="B45" s="2"/>
      <c r="C45" s="6" t="s">
        <v>68</v>
      </c>
      <c r="D45" s="60">
        <v>54.99</v>
      </c>
      <c r="F45" s="6"/>
      <c r="G45" s="6"/>
      <c r="H45" s="6"/>
      <c r="I45" s="6"/>
      <c r="J45" s="6"/>
    </row>
    <row r="46" spans="2:10">
      <c r="B46" s="2"/>
      <c r="C46" s="6" t="s">
        <v>69</v>
      </c>
      <c r="D46" s="61" t="s">
        <v>70</v>
      </c>
      <c r="E46" s="6"/>
      <c r="F46" s="6"/>
      <c r="G46" s="6"/>
      <c r="H46" s="6"/>
      <c r="I46" s="6"/>
      <c r="J46" s="6"/>
    </row>
    <row r="47" spans="2:10">
      <c r="B47" s="2"/>
      <c r="C47" s="6" t="s">
        <v>71</v>
      </c>
      <c r="D47" s="6">
        <v>22.877235000000002</v>
      </c>
      <c r="E47" s="6"/>
      <c r="F47" s="6"/>
      <c r="G47" s="6"/>
      <c r="H47" s="6"/>
      <c r="I47" s="6"/>
      <c r="J47" s="6"/>
    </row>
    <row r="48" spans="2:10">
      <c r="B48" s="2"/>
      <c r="C48" s="6" t="s">
        <v>72</v>
      </c>
      <c r="D48" s="6" t="s">
        <v>70</v>
      </c>
      <c r="E48" s="6"/>
      <c r="F48" s="6"/>
      <c r="G48" s="6"/>
      <c r="H48" s="6"/>
      <c r="I48" s="6"/>
      <c r="J48" s="6"/>
    </row>
    <row r="51" spans="2:10">
      <c r="B51" s="8" t="s">
        <v>73</v>
      </c>
      <c r="C51" t="s">
        <v>60</v>
      </c>
    </row>
    <row r="52" spans="2:10" ht="15" customHeight="1">
      <c r="B52" s="3" t="s">
        <v>74</v>
      </c>
      <c r="C52" s="6" t="s">
        <v>52</v>
      </c>
      <c r="D52" s="59" t="s">
        <v>75</v>
      </c>
      <c r="E52" s="59" t="s">
        <v>76</v>
      </c>
      <c r="F52" s="6"/>
      <c r="G52" s="6"/>
      <c r="H52" s="6"/>
      <c r="I52" s="6"/>
      <c r="J52" s="6"/>
    </row>
    <row r="53" spans="2:10">
      <c r="B53" s="3"/>
      <c r="C53" s="6" t="s">
        <v>63</v>
      </c>
      <c r="D53" s="6" t="s">
        <v>77</v>
      </c>
      <c r="E53" s="6" t="s">
        <v>78</v>
      </c>
      <c r="F53" s="6" t="s">
        <v>79</v>
      </c>
      <c r="G53" s="6"/>
      <c r="H53" s="6"/>
      <c r="I53" s="6"/>
      <c r="J53" s="6"/>
    </row>
    <row r="54" spans="2:10">
      <c r="B54" s="3"/>
      <c r="C54" s="6" t="s">
        <v>65</v>
      </c>
      <c r="D54" t="s">
        <v>80</v>
      </c>
      <c r="E54" s="6" t="s">
        <v>81</v>
      </c>
      <c r="F54" s="65"/>
      <c r="G54" s="6"/>
      <c r="H54" s="6"/>
      <c r="I54" s="6"/>
      <c r="J54" s="6"/>
    </row>
    <row r="55" spans="2:10">
      <c r="B55" s="3"/>
      <c r="C55" s="6" t="s">
        <v>67</v>
      </c>
      <c r="D55" s="6">
        <v>1</v>
      </c>
      <c r="E55" s="6">
        <v>1</v>
      </c>
      <c r="F55" s="65"/>
      <c r="G55" s="6"/>
      <c r="H55" s="6"/>
      <c r="I55" s="6"/>
      <c r="J55" s="6"/>
    </row>
    <row r="56" spans="2:10">
      <c r="B56" s="3"/>
      <c r="C56" s="6" t="s">
        <v>68</v>
      </c>
      <c r="D56" s="66">
        <f>18.3541995867266*2.5</f>
        <v>45.885498966816499</v>
      </c>
      <c r="E56" s="64">
        <f>19.78/6</f>
        <v>3.2966666666666669</v>
      </c>
      <c r="F56" s="65"/>
      <c r="G56" s="6"/>
      <c r="H56" s="6"/>
      <c r="I56" s="6"/>
      <c r="J56" s="6"/>
    </row>
    <row r="57" spans="2:10">
      <c r="B57" s="3"/>
      <c r="C57" s="6" t="s">
        <v>69</v>
      </c>
      <c r="D57" s="65" t="s">
        <v>82</v>
      </c>
      <c r="E57" s="6" t="s">
        <v>83</v>
      </c>
      <c r="F57" s="65"/>
      <c r="G57" s="6"/>
      <c r="H57" s="6"/>
      <c r="I57" s="6"/>
      <c r="J57" s="6"/>
    </row>
    <row r="58" spans="2:10">
      <c r="B58" s="3"/>
      <c r="C58" s="6" t="s">
        <v>71</v>
      </c>
      <c r="D58" s="6">
        <v>0</v>
      </c>
      <c r="E58" s="6">
        <v>0.74199999999999988</v>
      </c>
      <c r="F58" s="65"/>
      <c r="G58" s="6"/>
      <c r="H58" s="6"/>
      <c r="I58" s="6"/>
      <c r="J58" s="6"/>
    </row>
    <row r="59" spans="2:10">
      <c r="B59" s="3"/>
      <c r="C59" s="6" t="s">
        <v>72</v>
      </c>
      <c r="D59" s="6" t="s">
        <v>84</v>
      </c>
      <c r="E59" s="6" t="s">
        <v>85</v>
      </c>
      <c r="F59" s="6"/>
      <c r="G59" s="6"/>
      <c r="H59" s="6"/>
      <c r="I59" s="6"/>
      <c r="J59" s="6"/>
    </row>
    <row r="62" spans="2:10" ht="15.75" customHeight="1">
      <c r="B62" s="9" t="s">
        <v>86</v>
      </c>
    </row>
    <row r="63" spans="2:10" hidden="1">
      <c r="B63" s="4" t="s">
        <v>87</v>
      </c>
      <c r="C63" s="6" t="s">
        <v>52</v>
      </c>
      <c r="D63" s="6"/>
      <c r="E63" s="6"/>
      <c r="F63" s="6"/>
      <c r="G63" s="6"/>
      <c r="H63" s="6"/>
      <c r="I63" s="6"/>
      <c r="J63" s="6"/>
    </row>
    <row r="64" spans="2:10" hidden="1">
      <c r="B64" s="4"/>
      <c r="C64" s="6" t="s">
        <v>63</v>
      </c>
      <c r="D64" s="6"/>
      <c r="E64" s="6"/>
      <c r="F64" s="6"/>
      <c r="G64" s="6"/>
      <c r="H64" s="6"/>
      <c r="I64" s="6"/>
      <c r="J64" s="6"/>
    </row>
    <row r="65" spans="2:10" hidden="1">
      <c r="B65" s="4"/>
      <c r="C65" s="6" t="s">
        <v>65</v>
      </c>
      <c r="D65" s="6"/>
      <c r="E65" s="6"/>
      <c r="F65" s="6"/>
      <c r="G65" s="6"/>
      <c r="H65" s="6"/>
      <c r="I65" s="6"/>
      <c r="J65" s="6"/>
    </row>
    <row r="66" spans="2:10" hidden="1">
      <c r="B66" s="4"/>
      <c r="C66" s="6" t="s">
        <v>67</v>
      </c>
      <c r="D66" s="6"/>
      <c r="E66" s="6"/>
      <c r="F66" s="6"/>
      <c r="G66" s="6"/>
      <c r="H66" s="6"/>
      <c r="I66" s="6"/>
      <c r="J66" s="6"/>
    </row>
    <row r="67" spans="2:10" hidden="1">
      <c r="B67" s="4"/>
      <c r="C67" s="6" t="s">
        <v>68</v>
      </c>
      <c r="D67" s="6"/>
      <c r="E67" s="6"/>
      <c r="F67" s="6"/>
      <c r="G67" s="6"/>
      <c r="H67" s="6"/>
      <c r="I67" s="6"/>
      <c r="J67" s="6"/>
    </row>
    <row r="68" spans="2:10" hidden="1">
      <c r="B68" s="4"/>
      <c r="C68" s="6" t="s">
        <v>69</v>
      </c>
      <c r="D68" s="6"/>
      <c r="E68" s="6"/>
      <c r="F68" s="6"/>
      <c r="G68" s="6"/>
      <c r="H68" s="6"/>
      <c r="I68" s="6"/>
      <c r="J68" s="6"/>
    </row>
    <row r="69" spans="2:10" hidden="1">
      <c r="B69" s="4"/>
      <c r="C69" s="6" t="s">
        <v>71</v>
      </c>
      <c r="D69" s="6"/>
      <c r="E69" s="6"/>
      <c r="F69" s="6"/>
      <c r="G69" s="6"/>
      <c r="H69" s="6"/>
      <c r="I69" s="6"/>
      <c r="J69" s="6"/>
    </row>
    <row r="70" spans="2:10" hidden="1">
      <c r="B70" s="4"/>
      <c r="C70" s="6" t="s">
        <v>72</v>
      </c>
      <c r="D70" s="6"/>
      <c r="E70" s="6"/>
      <c r="F70" s="6"/>
      <c r="G70" s="6"/>
      <c r="H70" s="6"/>
      <c r="I70" s="6"/>
      <c r="J70" s="6"/>
    </row>
    <row r="71" spans="2:10" hidden="1"/>
    <row r="72" spans="2:10" hidden="1"/>
    <row r="73" spans="2:10">
      <c r="B73" s="10" t="s">
        <v>88</v>
      </c>
      <c r="C73" t="s">
        <v>60</v>
      </c>
    </row>
    <row r="74" spans="2:10">
      <c r="B74" s="5" t="s">
        <v>89</v>
      </c>
      <c r="C74" s="6" t="s">
        <v>52</v>
      </c>
      <c r="D74" s="6"/>
      <c r="E74" s="6"/>
      <c r="F74" s="6"/>
      <c r="G74" s="6"/>
      <c r="H74" s="6"/>
      <c r="I74" s="6"/>
      <c r="J74" s="6"/>
    </row>
    <row r="75" spans="2:10">
      <c r="B75" s="5"/>
      <c r="C75" s="6" t="s">
        <v>63</v>
      </c>
      <c r="D75" s="6" t="s">
        <v>90</v>
      </c>
      <c r="E75" s="6"/>
      <c r="F75" s="6"/>
      <c r="G75" s="6"/>
      <c r="H75" s="6"/>
      <c r="I75" s="6"/>
      <c r="J75" s="6"/>
    </row>
    <row r="76" spans="2:10">
      <c r="B76" s="5"/>
      <c r="C76" s="6" t="s">
        <v>65</v>
      </c>
      <c r="D76" s="6" t="s">
        <v>91</v>
      </c>
      <c r="E76" s="6"/>
      <c r="F76" s="6"/>
      <c r="G76" s="6"/>
      <c r="H76" s="6"/>
      <c r="I76" s="6"/>
      <c r="J76" s="6"/>
    </row>
    <row r="77" spans="2:10">
      <c r="B77" s="5"/>
      <c r="C77" s="6" t="s">
        <v>67</v>
      </c>
      <c r="D77" s="6">
        <v>1</v>
      </c>
      <c r="E77" s="6"/>
      <c r="F77" s="6"/>
      <c r="G77" s="6"/>
      <c r="H77" s="6"/>
      <c r="I77" s="6"/>
      <c r="J77" s="6"/>
    </row>
    <row r="78" spans="2:10">
      <c r="B78" s="5"/>
      <c r="C78" s="6" t="s">
        <v>68</v>
      </c>
      <c r="D78" s="6">
        <v>0</v>
      </c>
      <c r="E78" s="6"/>
      <c r="F78" s="6"/>
      <c r="G78" s="6"/>
      <c r="H78" s="6"/>
      <c r="I78" s="6"/>
      <c r="J78" s="6"/>
    </row>
    <row r="79" spans="2:10">
      <c r="B79" s="5"/>
      <c r="C79" s="6" t="s">
        <v>69</v>
      </c>
      <c r="D79" s="6" t="s">
        <v>92</v>
      </c>
      <c r="E79" s="6"/>
      <c r="F79" s="6"/>
      <c r="G79" s="6"/>
      <c r="H79" s="6"/>
      <c r="I79" s="6"/>
      <c r="J79" s="6"/>
    </row>
    <row r="80" spans="2:10">
      <c r="B80" s="5"/>
      <c r="C80" s="6" t="s">
        <v>71</v>
      </c>
      <c r="D80" s="6">
        <v>5.1382500000000002</v>
      </c>
      <c r="E80" s="6"/>
      <c r="F80" s="6"/>
      <c r="G80" s="6"/>
      <c r="H80" s="6"/>
      <c r="I80" s="6"/>
      <c r="J80" s="6"/>
    </row>
    <row r="81" spans="2:10">
      <c r="B81" s="5"/>
      <c r="C81" s="6" t="s">
        <v>72</v>
      </c>
      <c r="D81" s="6" t="s">
        <v>93</v>
      </c>
      <c r="E81" s="6"/>
      <c r="F81" s="6"/>
      <c r="G81" s="6"/>
      <c r="H81" s="6"/>
      <c r="I81" s="6"/>
      <c r="J81" s="6"/>
    </row>
    <row r="84" spans="2:10">
      <c r="B84" s="11" t="s">
        <v>94</v>
      </c>
      <c r="C84" t="s">
        <v>60</v>
      </c>
    </row>
    <row r="85" spans="2:10">
      <c r="B85" s="12" t="s">
        <v>95</v>
      </c>
      <c r="C85" s="6" t="s">
        <v>52</v>
      </c>
      <c r="D85" s="59" t="s">
        <v>96</v>
      </c>
      <c r="E85" s="59" t="s">
        <v>97</v>
      </c>
      <c r="F85" s="59" t="s">
        <v>96</v>
      </c>
      <c r="G85" s="6"/>
      <c r="H85" s="6"/>
      <c r="I85" s="6"/>
      <c r="J85" s="6"/>
    </row>
    <row r="86" spans="2:10">
      <c r="B86" s="12"/>
      <c r="C86" s="6" t="s">
        <v>63</v>
      </c>
      <c r="D86" s="6" t="s">
        <v>98</v>
      </c>
      <c r="E86" s="6" t="s">
        <v>99</v>
      </c>
      <c r="F86" s="6" t="s">
        <v>98</v>
      </c>
      <c r="G86" s="6"/>
      <c r="H86" s="6"/>
      <c r="I86" s="6"/>
      <c r="J86" s="6"/>
    </row>
    <row r="87" spans="2:10">
      <c r="B87" s="12"/>
      <c r="C87" s="6" t="s">
        <v>65</v>
      </c>
      <c r="D87" s="6" t="s">
        <v>100</v>
      </c>
      <c r="E87" s="6" t="s">
        <v>101</v>
      </c>
      <c r="F87" s="6" t="s">
        <v>102</v>
      </c>
      <c r="G87" s="6"/>
      <c r="H87" s="6"/>
      <c r="I87" s="6"/>
      <c r="J87" s="6"/>
    </row>
    <row r="88" spans="2:10">
      <c r="B88" s="12"/>
      <c r="C88" s="6" t="s">
        <v>67</v>
      </c>
      <c r="D88" s="6">
        <v>2</v>
      </c>
      <c r="E88" s="6">
        <v>2</v>
      </c>
      <c r="F88" s="6">
        <v>6</v>
      </c>
      <c r="G88" s="6"/>
      <c r="H88" s="6"/>
      <c r="I88" s="6"/>
      <c r="J88" s="6"/>
    </row>
    <row r="89" spans="2:10">
      <c r="B89" s="12"/>
      <c r="C89" s="6" t="s">
        <v>68</v>
      </c>
      <c r="D89" s="6">
        <v>0.14000000000000001</v>
      </c>
      <c r="E89" s="6">
        <v>0.32</v>
      </c>
      <c r="F89" s="65"/>
      <c r="G89" s="6"/>
      <c r="H89" s="6"/>
      <c r="I89" s="6"/>
      <c r="J89" s="6"/>
    </row>
    <row r="90" spans="2:10">
      <c r="B90" s="12"/>
      <c r="C90" s="6" t="s">
        <v>69</v>
      </c>
      <c r="D90" s="6"/>
      <c r="E90" s="6"/>
      <c r="F90" s="6"/>
      <c r="G90" s="6"/>
      <c r="H90" s="6"/>
      <c r="I90" s="6"/>
      <c r="J90" s="6"/>
    </row>
    <row r="91" spans="2:10">
      <c r="B91" s="12"/>
      <c r="C91" s="6" t="s">
        <v>71</v>
      </c>
      <c r="D91" s="6"/>
      <c r="E91" s="6"/>
      <c r="F91" s="6"/>
      <c r="G91" s="6"/>
      <c r="H91" s="6"/>
      <c r="I91" s="6"/>
      <c r="J91" s="6"/>
    </row>
    <row r="92" spans="2:10">
      <c r="B92" s="12"/>
      <c r="C92" s="6" t="s">
        <v>72</v>
      </c>
      <c r="D92" s="6"/>
      <c r="E92" s="6"/>
      <c r="F92" s="6"/>
      <c r="G92" s="6"/>
      <c r="H92" s="6"/>
      <c r="I92" s="6"/>
      <c r="J92" s="6"/>
    </row>
    <row r="93" spans="2:10" ht="91.5">
      <c r="B93" s="13" t="s">
        <v>103</v>
      </c>
    </row>
    <row r="95" spans="2:10" hidden="1"/>
    <row r="96" spans="2:10" hidden="1"/>
    <row r="97" spans="2:7">
      <c r="B97" s="12" t="s">
        <v>104</v>
      </c>
    </row>
    <row r="98" spans="2:7" hidden="1"/>
    <row r="99" spans="2:7" hidden="1"/>
    <row r="100" spans="2:7" hidden="1">
      <c r="B100" s="32" t="s">
        <v>105</v>
      </c>
      <c r="C100" s="70"/>
      <c r="D100" s="70"/>
      <c r="E100" s="70"/>
      <c r="F100" s="70"/>
      <c r="G100" s="70"/>
    </row>
    <row r="101" spans="2:7" hidden="1">
      <c r="C101" s="70"/>
      <c r="D101" s="70"/>
      <c r="E101" s="70"/>
      <c r="F101" s="70"/>
      <c r="G101" s="70"/>
    </row>
    <row r="102" spans="2:7" hidden="1">
      <c r="C102" s="70"/>
      <c r="D102" s="70"/>
      <c r="E102" s="70"/>
      <c r="F102" s="70"/>
      <c r="G102" s="70"/>
    </row>
    <row r="103" spans="2:7" hidden="1"/>
  </sheetData>
  <mergeCells count="2">
    <mergeCell ref="D2:F2"/>
    <mergeCell ref="C100:G102"/>
  </mergeCells>
  <conditionalFormatting sqref="C3:C12">
    <cfRule type="containsBlanks" dxfId="52" priority="5">
      <formula>LEN(TRIM(C3))=0</formula>
    </cfRule>
  </conditionalFormatting>
  <conditionalFormatting sqref="C20:C22">
    <cfRule type="containsBlanks" dxfId="51" priority="4">
      <formula>LEN(TRIM(C20))=0</formula>
    </cfRule>
  </conditionalFormatting>
  <conditionalFormatting sqref="C27">
    <cfRule type="containsBlanks" dxfId="50" priority="3">
      <formula>LEN(TRIM(C27))=0</formula>
    </cfRule>
  </conditionalFormatting>
  <conditionalFormatting sqref="D1">
    <cfRule type="containsBlanks" dxfId="49" priority="2">
      <formula>LEN(TRIM(D1))=0</formula>
    </cfRule>
  </conditionalFormatting>
  <conditionalFormatting sqref="D2:F2">
    <cfRule type="containsBlanks" dxfId="48" priority="1">
      <formula>LEN(TRIM(D2))=0</formula>
    </cfRule>
  </conditionalFormatting>
  <dataValidations count="2">
    <dataValidation type="list" allowBlank="1" showInputMessage="1" showErrorMessage="1" sqref="C97 C25:C26 C30 C19 C40 C84 C51 C73 C62" xr:uid="{F30CD9D6-6304-4F14-BCD0-07B64721CE31}">
      <formula1>"Ja,Nein"</formula1>
    </dataValidation>
    <dataValidation type="list" allowBlank="1" showInputMessage="1" showErrorMessage="1" sqref="C5" xr:uid="{CCCE1C4C-69CC-47AF-8A5A-236B6FBD9180}">
      <formula1>"Make,Buy"</formula1>
    </dataValidation>
  </dataValidations>
  <hyperlinks>
    <hyperlink ref="D41" r:id="rId1" xr:uid="{C3A881E2-7ACF-4D13-8262-45B2C0994249}"/>
    <hyperlink ref="D52" r:id="rId2" xr:uid="{2E8A4D79-EAAF-4E22-88C9-84556545D661}"/>
    <hyperlink ref="E52" r:id="rId3" xr:uid="{1BC1AA63-0FFA-4CEE-B04E-4A26F32A7CA6}"/>
    <hyperlink ref="E85" r:id="rId4" xr:uid="{9A18171C-60F5-4ECF-8AC9-AF1C8E56A5E3}"/>
    <hyperlink ref="D85" r:id="rId5" xr:uid="{0042B992-651B-4746-BDEC-AE4069BED78D}"/>
    <hyperlink ref="F85" r:id="rId6" xr:uid="{AAD46BBE-057B-40AC-9673-632082C424F7}"/>
  </hyperlinks>
  <pageMargins left="0.7" right="0.7" top="0.75" bottom="0.75" header="0.3" footer="0.3"/>
  <drawing r:id="rId7"/>
  <extLst>
    <ext xmlns:x14="http://schemas.microsoft.com/office/spreadsheetml/2009/9/main" uri="{CCE6A557-97BC-4b89-ADB6-D9C93CAAB3DF}">
      <x14:dataValidations xmlns:xm="http://schemas.microsoft.com/office/excel/2006/main" count="4">
        <x14:dataValidation type="list" allowBlank="1" showInputMessage="1" showErrorMessage="1" xr:uid="{A88EA74A-3907-456C-ADDA-73606E58D81C}">
          <x14:formula1>
            <xm:f>'Mateial list'!$C$4:$C$56</xm:f>
          </x14:formula1>
          <xm:sqref>D42:XFD42</xm:sqref>
        </x14:dataValidation>
        <x14:dataValidation type="list" allowBlank="1" showInputMessage="1" showErrorMessage="1" xr:uid="{78975566-31D3-4D94-BCE8-1BF7B9B9D49B}">
          <x14:formula1>
            <xm:f>'Process list'!$C$4:$C$78</xm:f>
          </x14:formula1>
          <xm:sqref>D53:XFD53</xm:sqref>
        </x14:dataValidation>
        <x14:dataValidation type="list" allowBlank="1" showInputMessage="1" showErrorMessage="1" xr:uid="{E905E6CD-BEE9-4F18-B150-6C887351514A}">
          <x14:formula1>
            <xm:f>'Tooling list'!$C$3:$C$11</xm:f>
          </x14:formula1>
          <xm:sqref>D64:XFD64</xm:sqref>
        </x14:dataValidation>
        <x14:dataValidation type="list" allowBlank="1" showInputMessage="1" showErrorMessage="1" xr:uid="{79711357-0D75-4A2C-B3BE-EA7E3267CD5D}">
          <x14:formula1>
            <xm:f>'Fastener list'!$C$3:$C$16</xm:f>
          </x14:formula1>
          <xm:sqref>D86:XFD86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2D8AC-2B45-466E-87C0-6207FBADCD0D}">
  <sheetPr codeName="Sheet9">
    <tabColor rgb="FF0070C0"/>
  </sheetPr>
  <dimension ref="A1:P103"/>
  <sheetViews>
    <sheetView topLeftCell="B1" zoomScale="55" zoomScaleNormal="55" workbookViewId="0">
      <selection activeCell="C5" sqref="C5"/>
    </sheetView>
  </sheetViews>
  <sheetFormatPr defaultRowHeight="15"/>
  <cols>
    <col min="1" max="1" width="10.28515625" customWidth="1"/>
    <col min="2" max="2" width="43" customWidth="1"/>
    <col min="3" max="3" width="32.140625" customWidth="1"/>
    <col min="4" max="4" width="31.85546875" bestFit="1" customWidth="1"/>
    <col min="5" max="5" width="26.85546875" bestFit="1" customWidth="1"/>
    <col min="6" max="6" width="32.140625" customWidth="1"/>
    <col min="7" max="7" width="24" customWidth="1"/>
    <col min="8" max="11" width="16" customWidth="1"/>
    <col min="12" max="12" width="22.140625" bestFit="1" customWidth="1"/>
    <col min="13" max="13" width="22.140625" customWidth="1"/>
  </cols>
  <sheetData>
    <row r="1" spans="1:8" ht="21">
      <c r="A1" s="22" t="s">
        <v>33</v>
      </c>
      <c r="B1" s="23" t="s">
        <v>34</v>
      </c>
      <c r="C1" s="24" t="s">
        <v>35</v>
      </c>
      <c r="D1" s="25" t="s">
        <v>19</v>
      </c>
      <c r="E1" s="26"/>
      <c r="F1" s="26"/>
      <c r="G1" s="26"/>
      <c r="H1" s="26"/>
    </row>
    <row r="2" spans="1:8" ht="26.25">
      <c r="A2" s="26"/>
      <c r="B2" s="27" t="s">
        <v>37</v>
      </c>
      <c r="C2" s="31" t="s">
        <v>38</v>
      </c>
      <c r="D2" s="67" t="s">
        <v>20</v>
      </c>
      <c r="E2" s="68"/>
      <c r="F2" s="69"/>
      <c r="G2" s="30"/>
      <c r="H2" s="30"/>
    </row>
    <row r="3" spans="1:8" ht="18.75">
      <c r="B3" s="29" t="s">
        <v>2</v>
      </c>
      <c r="C3" s="48" t="s">
        <v>21</v>
      </c>
    </row>
    <row r="4" spans="1:8" ht="18" customHeight="1">
      <c r="B4" s="29" t="s">
        <v>3</v>
      </c>
      <c r="C4" s="28" t="s">
        <v>22</v>
      </c>
    </row>
    <row r="5" spans="1:8" ht="18" customHeight="1">
      <c r="B5" s="29" t="s">
        <v>4</v>
      </c>
      <c r="C5" s="28" t="s">
        <v>16</v>
      </c>
      <c r="F5" s="39" t="s">
        <v>41</v>
      </c>
    </row>
    <row r="6" spans="1:8" ht="18" customHeight="1">
      <c r="B6" s="29" t="s">
        <v>5</v>
      </c>
      <c r="C6" s="28">
        <v>0</v>
      </c>
      <c r="F6" s="58" t="s">
        <v>106</v>
      </c>
    </row>
    <row r="7" spans="1:8" ht="18" customHeight="1">
      <c r="B7" s="29" t="s">
        <v>43</v>
      </c>
      <c r="C7" s="28">
        <v>1</v>
      </c>
      <c r="D7" s="33"/>
    </row>
    <row r="8" spans="1:8" ht="18" customHeight="1">
      <c r="B8" s="29" t="s">
        <v>44</v>
      </c>
      <c r="C8" s="28"/>
      <c r="D8" s="33"/>
    </row>
    <row r="9" spans="1:8" ht="16.899999999999999" customHeight="1">
      <c r="B9" s="43" t="s">
        <v>45</v>
      </c>
      <c r="C9" s="28" t="s">
        <v>17</v>
      </c>
      <c r="D9" s="33"/>
    </row>
    <row r="10" spans="1:8" ht="19.899999999999999" customHeight="1">
      <c r="B10" s="29" t="s">
        <v>9</v>
      </c>
      <c r="C10" s="28"/>
      <c r="E10" s="34"/>
    </row>
    <row r="11" spans="1:8" ht="18.75">
      <c r="B11" s="29" t="s">
        <v>46</v>
      </c>
      <c r="C11" s="28"/>
      <c r="E11" s="34"/>
      <c r="F11" s="35"/>
    </row>
    <row r="12" spans="1:8" ht="18.75">
      <c r="B12" s="29" t="s">
        <v>47</v>
      </c>
      <c r="C12" s="28"/>
      <c r="E12" s="34"/>
      <c r="F12" s="34"/>
    </row>
    <row r="13" spans="1:8">
      <c r="F13" s="34"/>
    </row>
    <row r="14" spans="1:8" hidden="1"/>
    <row r="15" spans="1:8" hidden="1"/>
    <row r="16" spans="1:8" hidden="1"/>
    <row r="17" spans="2:5" hidden="1"/>
    <row r="18" spans="2:5" hidden="1"/>
    <row r="19" spans="2:5" ht="15" customHeight="1">
      <c r="B19" s="19" t="s">
        <v>48</v>
      </c>
      <c r="C19" s="20" t="s">
        <v>49</v>
      </c>
    </row>
    <row r="20" spans="2:5">
      <c r="B20" s="20" t="s">
        <v>50</v>
      </c>
      <c r="C20" s="6"/>
    </row>
    <row r="21" spans="2:5">
      <c r="B21" s="20" t="s">
        <v>51</v>
      </c>
      <c r="C21" s="6"/>
    </row>
    <row r="22" spans="2:5">
      <c r="B22" s="20" t="s">
        <v>52</v>
      </c>
      <c r="C22" s="6"/>
    </row>
    <row r="23" spans="2:5" hidden="1"/>
    <row r="24" spans="2:5" hidden="1"/>
    <row r="25" spans="2:5" hidden="1">
      <c r="B25" s="18" t="s">
        <v>53</v>
      </c>
      <c r="C25" s="14"/>
    </row>
    <row r="26" spans="2:5" ht="45.75" hidden="1">
      <c r="B26" s="17" t="s">
        <v>54</v>
      </c>
    </row>
    <row r="27" spans="2:5" hidden="1">
      <c r="B27" s="6" t="s">
        <v>55</v>
      </c>
      <c r="C27" s="45"/>
      <c r="E27" s="1"/>
    </row>
    <row r="28" spans="2:5" hidden="1">
      <c r="E28" s="1"/>
    </row>
    <row r="29" spans="2:5" hidden="1">
      <c r="E29" s="1"/>
    </row>
    <row r="30" spans="2:5" hidden="1">
      <c r="B30" s="18" t="s">
        <v>56</v>
      </c>
      <c r="C30" s="15"/>
      <c r="D30" s="1"/>
    </row>
    <row r="31" spans="2:5" ht="106.5" hidden="1">
      <c r="B31" s="16" t="s">
        <v>57</v>
      </c>
    </row>
    <row r="32" spans="2:5" hidden="1"/>
    <row r="33" spans="2:13" hidden="1"/>
    <row r="34" spans="2:13" hidden="1"/>
    <row r="35" spans="2:13" hidden="1"/>
    <row r="36" spans="2:13" hidden="1"/>
    <row r="37" spans="2:13" hidden="1"/>
    <row r="38" spans="2:13" hidden="1"/>
    <row r="39" spans="2:13">
      <c r="B39" s="21" t="s">
        <v>58</v>
      </c>
    </row>
    <row r="40" spans="2:13">
      <c r="B40" s="7" t="s">
        <v>59</v>
      </c>
      <c r="C40" t="s">
        <v>60</v>
      </c>
    </row>
    <row r="41" spans="2:13" ht="19.149999999999999" customHeight="1">
      <c r="B41" s="2" t="s">
        <v>61</v>
      </c>
      <c r="C41" s="6" t="s">
        <v>52</v>
      </c>
      <c r="D41" s="6"/>
      <c r="E41" s="6"/>
      <c r="F41" s="6"/>
      <c r="G41" s="6"/>
      <c r="H41" s="6"/>
      <c r="I41" s="6"/>
      <c r="J41" s="40"/>
      <c r="K41" s="40"/>
      <c r="L41" s="40"/>
      <c r="M41" s="40"/>
    </row>
    <row r="42" spans="2:13" ht="16.899999999999999" customHeight="1">
      <c r="B42" s="2"/>
      <c r="C42" s="6" t="s">
        <v>63</v>
      </c>
      <c r="D42" s="39" t="s">
        <v>107</v>
      </c>
      <c r="E42" s="6"/>
      <c r="F42" s="6"/>
      <c r="G42" s="6"/>
      <c r="H42" s="6"/>
      <c r="I42" s="38"/>
      <c r="K42" s="39"/>
      <c r="L42" s="39"/>
      <c r="M42" s="39"/>
    </row>
    <row r="43" spans="2:13" ht="14.45" customHeight="1">
      <c r="B43" s="2"/>
      <c r="C43" s="6" t="s">
        <v>65</v>
      </c>
      <c r="D43" s="41" t="s">
        <v>108</v>
      </c>
      <c r="E43" s="6"/>
      <c r="F43" s="6"/>
      <c r="G43" s="6"/>
      <c r="H43" s="6"/>
      <c r="I43" s="6"/>
      <c r="K43" s="41"/>
      <c r="L43" s="41"/>
      <c r="M43" s="41"/>
    </row>
    <row r="44" spans="2:13">
      <c r="B44" s="2"/>
      <c r="C44" s="6" t="s">
        <v>67</v>
      </c>
      <c r="D44" s="6">
        <v>1</v>
      </c>
      <c r="E44" s="6"/>
      <c r="F44" s="6"/>
      <c r="G44" s="6"/>
      <c r="H44" s="6"/>
      <c r="I44" s="6"/>
      <c r="K44" s="6"/>
      <c r="L44" s="6"/>
      <c r="M44" s="6"/>
    </row>
    <row r="45" spans="2:13">
      <c r="B45" s="2"/>
      <c r="C45" s="6" t="s">
        <v>68</v>
      </c>
      <c r="D45" s="6" t="s">
        <v>109</v>
      </c>
      <c r="E45" s="6"/>
      <c r="F45" s="6"/>
      <c r="G45" s="6"/>
      <c r="H45" s="6"/>
      <c r="I45" s="6"/>
      <c r="J45" s="6"/>
      <c r="K45" s="6"/>
      <c r="L45" s="6"/>
      <c r="M45" s="6"/>
    </row>
    <row r="46" spans="2:13">
      <c r="B46" s="2"/>
      <c r="C46" s="6" t="s">
        <v>69</v>
      </c>
      <c r="D46" s="6"/>
      <c r="E46" s="6"/>
      <c r="F46" s="6"/>
      <c r="G46" s="6"/>
      <c r="H46" s="6"/>
      <c r="I46" s="6"/>
      <c r="J46" s="6"/>
      <c r="K46" s="6"/>
      <c r="L46" s="6"/>
      <c r="M46" s="6"/>
    </row>
    <row r="47" spans="2:13">
      <c r="B47" s="2"/>
      <c r="C47" s="6" t="s">
        <v>71</v>
      </c>
      <c r="D47" s="6" t="s">
        <v>109</v>
      </c>
      <c r="E47" s="6"/>
      <c r="F47" s="6"/>
      <c r="G47" s="6"/>
      <c r="H47" s="6"/>
      <c r="I47" s="6"/>
      <c r="J47" s="6"/>
      <c r="K47" s="6"/>
      <c r="L47" s="6"/>
      <c r="M47" s="6"/>
    </row>
    <row r="48" spans="2:13">
      <c r="B48" s="2"/>
      <c r="C48" s="6" t="s">
        <v>72</v>
      </c>
      <c r="D48" s="6"/>
      <c r="E48" s="6"/>
      <c r="F48" s="6"/>
      <c r="G48" s="6"/>
      <c r="H48" s="6"/>
      <c r="I48" s="6"/>
      <c r="J48" s="6"/>
      <c r="K48" s="6"/>
      <c r="L48" s="6"/>
      <c r="M48" s="6"/>
    </row>
    <row r="51" spans="2:16">
      <c r="B51" s="8" t="s">
        <v>73</v>
      </c>
      <c r="C51" t="s">
        <v>60</v>
      </c>
    </row>
    <row r="52" spans="2:16" ht="15" customHeight="1">
      <c r="B52" s="3" t="s">
        <v>74</v>
      </c>
      <c r="C52" s="6" t="s">
        <v>52</v>
      </c>
      <c r="D52" s="6"/>
      <c r="E52" s="6"/>
      <c r="F52" s="6"/>
      <c r="G52" s="6"/>
      <c r="H52" s="6"/>
      <c r="I52" s="6"/>
      <c r="J52" s="6"/>
      <c r="K52" s="6"/>
      <c r="L52" s="6"/>
      <c r="M52" s="6"/>
    </row>
    <row r="53" spans="2:16">
      <c r="B53" s="3"/>
      <c r="C53" s="6" t="s">
        <v>63</v>
      </c>
      <c r="D53" s="6" t="s">
        <v>110</v>
      </c>
      <c r="E53" s="6" t="s">
        <v>110</v>
      </c>
      <c r="F53" s="6" t="s">
        <v>111</v>
      </c>
      <c r="G53" s="6" t="s">
        <v>111</v>
      </c>
      <c r="H53" s="6" t="s">
        <v>112</v>
      </c>
      <c r="I53" s="6" t="s">
        <v>112</v>
      </c>
      <c r="J53" s="6" t="s">
        <v>77</v>
      </c>
      <c r="K53" s="6" t="s">
        <v>113</v>
      </c>
      <c r="L53" s="6" t="s">
        <v>114</v>
      </c>
      <c r="M53" s="6" t="s">
        <v>115</v>
      </c>
    </row>
    <row r="54" spans="2:16">
      <c r="B54" s="3"/>
      <c r="C54" s="6" t="s">
        <v>65</v>
      </c>
      <c r="D54" s="6" t="s">
        <v>116</v>
      </c>
      <c r="E54" s="6" t="s">
        <v>117</v>
      </c>
      <c r="F54" s="6" t="s">
        <v>118</v>
      </c>
      <c r="G54" s="6" t="s">
        <v>119</v>
      </c>
      <c r="H54" s="6" t="s">
        <v>120</v>
      </c>
      <c r="I54" s="6" t="s">
        <v>121</v>
      </c>
      <c r="J54" s="6" t="s">
        <v>122</v>
      </c>
      <c r="K54" s="6" t="s">
        <v>122</v>
      </c>
      <c r="L54" s="6" t="s">
        <v>123</v>
      </c>
      <c r="M54" s="6" t="s">
        <v>124</v>
      </c>
      <c r="O54" s="6" t="s">
        <v>125</v>
      </c>
      <c r="P54" s="6" t="s">
        <v>126</v>
      </c>
    </row>
    <row r="55" spans="2:16">
      <c r="B55" s="3"/>
      <c r="C55" s="6" t="s">
        <v>67</v>
      </c>
      <c r="D55" s="6" t="s">
        <v>127</v>
      </c>
      <c r="E55" s="6" t="s">
        <v>128</v>
      </c>
      <c r="F55" s="6" t="s">
        <v>129</v>
      </c>
      <c r="G55" s="6" t="s">
        <v>130</v>
      </c>
      <c r="H55" s="6" t="s">
        <v>131</v>
      </c>
      <c r="I55" s="6" t="s">
        <v>132</v>
      </c>
      <c r="J55" s="6" t="s">
        <v>109</v>
      </c>
      <c r="K55" s="6" t="s">
        <v>109</v>
      </c>
      <c r="L55" s="6" t="s">
        <v>109</v>
      </c>
      <c r="M55" s="6"/>
      <c r="O55" s="6" t="s">
        <v>108</v>
      </c>
      <c r="P55" s="6" t="s">
        <v>108</v>
      </c>
    </row>
    <row r="56" spans="2:16">
      <c r="B56" s="3"/>
      <c r="C56" s="6" t="s">
        <v>68</v>
      </c>
      <c r="D56" s="6"/>
      <c r="E56" s="6"/>
      <c r="F56" s="6"/>
      <c r="G56" s="6"/>
      <c r="H56" s="6" t="s">
        <v>109</v>
      </c>
      <c r="I56" s="6" t="s">
        <v>109</v>
      </c>
      <c r="J56" s="6" t="s">
        <v>109</v>
      </c>
      <c r="K56" s="6" t="s">
        <v>109</v>
      </c>
      <c r="L56" s="6" t="s">
        <v>109</v>
      </c>
      <c r="M56" s="6"/>
    </row>
    <row r="57" spans="2:16">
      <c r="B57" s="3"/>
      <c r="C57" s="6" t="s">
        <v>69</v>
      </c>
      <c r="D57" s="6" t="s">
        <v>133</v>
      </c>
      <c r="E57" s="6" t="s">
        <v>133</v>
      </c>
      <c r="F57" s="6" t="s">
        <v>133</v>
      </c>
      <c r="G57" s="6" t="s">
        <v>133</v>
      </c>
      <c r="H57" s="6" t="s">
        <v>134</v>
      </c>
      <c r="I57" s="6" t="s">
        <v>134</v>
      </c>
      <c r="J57" s="6" t="s">
        <v>109</v>
      </c>
      <c r="K57" s="6" t="s">
        <v>109</v>
      </c>
      <c r="L57" s="6" t="s">
        <v>109</v>
      </c>
      <c r="M57" s="6"/>
    </row>
    <row r="58" spans="2:16">
      <c r="B58" s="3"/>
      <c r="C58" s="6" t="s">
        <v>71</v>
      </c>
      <c r="H58" s="6" t="s">
        <v>109</v>
      </c>
      <c r="I58" s="6" t="s">
        <v>109</v>
      </c>
      <c r="J58" s="6" t="s">
        <v>109</v>
      </c>
      <c r="K58" s="6" t="s">
        <v>109</v>
      </c>
      <c r="L58" s="6" t="s">
        <v>109</v>
      </c>
      <c r="M58" s="6"/>
    </row>
    <row r="59" spans="2:16">
      <c r="B59" s="3"/>
      <c r="C59" s="6" t="s">
        <v>72</v>
      </c>
      <c r="D59" s="6" t="s">
        <v>135</v>
      </c>
      <c r="E59" s="6" t="s">
        <v>135</v>
      </c>
      <c r="F59" s="6" t="s">
        <v>135</v>
      </c>
      <c r="G59" s="6" t="s">
        <v>135</v>
      </c>
      <c r="H59" s="6" t="s">
        <v>136</v>
      </c>
      <c r="I59" s="6" t="s">
        <v>137</v>
      </c>
      <c r="J59" s="6" t="s">
        <v>138</v>
      </c>
      <c r="K59" s="6"/>
      <c r="L59" s="6"/>
      <c r="M59" s="6"/>
    </row>
    <row r="62" spans="2:16" ht="15.75" customHeight="1">
      <c r="B62" s="9" t="s">
        <v>86</v>
      </c>
      <c r="C62" t="s">
        <v>49</v>
      </c>
    </row>
    <row r="63" spans="2:16" hidden="1">
      <c r="B63" s="4" t="s">
        <v>87</v>
      </c>
      <c r="C63" s="6" t="s">
        <v>52</v>
      </c>
      <c r="D63" s="6"/>
      <c r="E63" s="6"/>
      <c r="F63" s="6"/>
      <c r="G63" s="6"/>
      <c r="H63" s="6"/>
      <c r="I63" s="6"/>
      <c r="J63" s="6"/>
      <c r="K63" s="6"/>
      <c r="L63" s="6"/>
      <c r="M63" s="6"/>
    </row>
    <row r="64" spans="2:16" hidden="1">
      <c r="B64" s="4"/>
      <c r="C64" s="6" t="s">
        <v>63</v>
      </c>
      <c r="D64" s="6"/>
      <c r="E64" s="6"/>
      <c r="F64" s="6"/>
      <c r="G64" s="6"/>
      <c r="H64" s="6"/>
      <c r="I64" s="6"/>
      <c r="J64" s="6"/>
      <c r="K64" s="6"/>
      <c r="L64" s="6"/>
      <c r="M64" s="6"/>
    </row>
    <row r="65" spans="2:13" hidden="1">
      <c r="B65" s="4"/>
      <c r="C65" s="6" t="s">
        <v>65</v>
      </c>
      <c r="D65" s="6"/>
      <c r="E65" s="6"/>
      <c r="F65" s="6"/>
      <c r="G65" s="6"/>
      <c r="H65" s="6"/>
      <c r="I65" s="6"/>
      <c r="J65" s="6"/>
      <c r="K65" s="6"/>
      <c r="L65" s="6"/>
      <c r="M65" s="6"/>
    </row>
    <row r="66" spans="2:13" hidden="1">
      <c r="B66" s="4"/>
      <c r="C66" s="6" t="s">
        <v>67</v>
      </c>
      <c r="D66" s="6"/>
      <c r="E66" s="6"/>
      <c r="F66" s="6"/>
      <c r="G66" s="6"/>
      <c r="H66" s="6"/>
      <c r="I66" s="6"/>
      <c r="J66" s="6"/>
      <c r="K66" s="6"/>
      <c r="L66" s="6"/>
      <c r="M66" s="6"/>
    </row>
    <row r="67" spans="2:13" hidden="1">
      <c r="B67" s="4"/>
      <c r="C67" s="6" t="s">
        <v>68</v>
      </c>
      <c r="D67" s="6"/>
      <c r="E67" s="6"/>
      <c r="F67" s="6"/>
      <c r="G67" s="6"/>
      <c r="H67" s="6"/>
      <c r="I67" s="6"/>
      <c r="J67" s="6"/>
      <c r="K67" s="6"/>
      <c r="L67" s="6"/>
      <c r="M67" s="6"/>
    </row>
    <row r="68" spans="2:13" hidden="1">
      <c r="B68" s="4"/>
      <c r="C68" s="6" t="s">
        <v>69</v>
      </c>
      <c r="D68" s="6"/>
      <c r="E68" s="6"/>
      <c r="F68" s="6"/>
      <c r="G68" s="6"/>
      <c r="H68" s="6"/>
      <c r="I68" s="6"/>
      <c r="J68" s="6"/>
      <c r="K68" s="6"/>
      <c r="L68" s="6"/>
      <c r="M68" s="6"/>
    </row>
    <row r="69" spans="2:13" hidden="1">
      <c r="B69" s="4"/>
      <c r="C69" s="6" t="s">
        <v>71</v>
      </c>
      <c r="D69" s="6"/>
      <c r="E69" s="6"/>
      <c r="F69" s="6"/>
      <c r="G69" s="6"/>
      <c r="H69" s="6"/>
      <c r="I69" s="6"/>
      <c r="J69" s="6"/>
      <c r="K69" s="6"/>
      <c r="L69" s="6"/>
      <c r="M69" s="6"/>
    </row>
    <row r="70" spans="2:13" hidden="1">
      <c r="B70" s="4"/>
      <c r="C70" s="6" t="s">
        <v>72</v>
      </c>
      <c r="D70" s="6"/>
      <c r="E70" s="6"/>
      <c r="F70" s="6"/>
      <c r="G70" s="6"/>
      <c r="H70" s="6"/>
      <c r="I70" s="6"/>
      <c r="J70" s="6"/>
      <c r="K70" s="6"/>
      <c r="L70" s="6"/>
      <c r="M70" s="6"/>
    </row>
    <row r="71" spans="2:13" hidden="1"/>
    <row r="72" spans="2:13" hidden="1"/>
    <row r="73" spans="2:13">
      <c r="B73" s="10" t="s">
        <v>88</v>
      </c>
      <c r="C73" t="s">
        <v>60</v>
      </c>
    </row>
    <row r="74" spans="2:13">
      <c r="B74" s="5" t="s">
        <v>89</v>
      </c>
      <c r="C74" s="6" t="s">
        <v>52</v>
      </c>
      <c r="D74" s="6"/>
      <c r="E74" s="6"/>
      <c r="F74" s="6"/>
      <c r="G74" s="6"/>
      <c r="H74" s="6"/>
      <c r="I74" s="6"/>
      <c r="J74" s="6"/>
      <c r="K74" s="6"/>
      <c r="L74" s="6"/>
      <c r="M74" s="6"/>
    </row>
    <row r="75" spans="2:13">
      <c r="B75" s="5"/>
      <c r="C75" s="6" t="s">
        <v>63</v>
      </c>
      <c r="D75" s="6"/>
      <c r="E75" s="6"/>
      <c r="F75" s="6"/>
      <c r="G75" s="6"/>
      <c r="H75" s="6"/>
      <c r="I75" s="6"/>
      <c r="J75" s="6"/>
      <c r="K75" s="6"/>
      <c r="L75" s="6"/>
      <c r="M75" s="6"/>
    </row>
    <row r="76" spans="2:13">
      <c r="B76" s="5"/>
      <c r="C76" s="6" t="s">
        <v>65</v>
      </c>
      <c r="D76" s="6"/>
      <c r="E76" s="6"/>
      <c r="F76" s="6"/>
      <c r="G76" s="6"/>
      <c r="H76" s="6"/>
      <c r="I76" s="6"/>
      <c r="J76" s="6"/>
      <c r="K76" s="6"/>
      <c r="L76" s="6"/>
      <c r="M76" s="6"/>
    </row>
    <row r="77" spans="2:13">
      <c r="B77" s="5"/>
      <c r="C77" s="6" t="s">
        <v>67</v>
      </c>
      <c r="D77" s="6"/>
      <c r="E77" s="6"/>
      <c r="F77" s="6"/>
      <c r="G77" s="6"/>
      <c r="H77" s="6"/>
      <c r="I77" s="6"/>
      <c r="J77" s="6"/>
      <c r="K77" s="6"/>
      <c r="L77" s="6"/>
      <c r="M77" s="6"/>
    </row>
    <row r="78" spans="2:13">
      <c r="B78" s="5"/>
      <c r="C78" s="6" t="s">
        <v>68</v>
      </c>
      <c r="D78" s="6"/>
      <c r="E78" s="6"/>
      <c r="F78" s="6"/>
      <c r="G78" s="6"/>
      <c r="H78" s="6"/>
      <c r="I78" s="6"/>
      <c r="J78" s="6"/>
      <c r="K78" s="6"/>
      <c r="L78" s="6"/>
      <c r="M78" s="6"/>
    </row>
    <row r="79" spans="2:13">
      <c r="B79" s="5"/>
      <c r="C79" s="6" t="s">
        <v>69</v>
      </c>
      <c r="D79" s="6"/>
      <c r="E79" s="6"/>
      <c r="F79" s="6"/>
      <c r="G79" s="6"/>
      <c r="H79" s="6"/>
      <c r="I79" s="6"/>
      <c r="J79" s="6"/>
      <c r="K79" s="6"/>
      <c r="L79" s="6"/>
      <c r="M79" s="6"/>
    </row>
    <row r="80" spans="2:13">
      <c r="B80" s="5"/>
      <c r="C80" s="6" t="s">
        <v>71</v>
      </c>
      <c r="D80" s="6"/>
      <c r="E80" s="6"/>
      <c r="F80" s="6"/>
      <c r="G80" s="6"/>
      <c r="H80" s="6"/>
      <c r="I80" s="6"/>
      <c r="J80" s="6"/>
      <c r="K80" s="6"/>
      <c r="L80" s="6"/>
      <c r="M80" s="6"/>
    </row>
    <row r="81" spans="2:13">
      <c r="B81" s="5"/>
      <c r="C81" s="6" t="s">
        <v>72</v>
      </c>
      <c r="D81" s="6"/>
      <c r="E81" s="6"/>
      <c r="F81" s="6"/>
      <c r="G81" s="6"/>
      <c r="H81" s="6"/>
      <c r="I81" s="6"/>
      <c r="J81" s="6"/>
      <c r="K81" s="6"/>
      <c r="L81" s="6"/>
      <c r="M81" s="6"/>
    </row>
    <row r="84" spans="2:13">
      <c r="B84" s="11" t="s">
        <v>94</v>
      </c>
    </row>
    <row r="85" spans="2:13" hidden="1">
      <c r="B85" s="12" t="s">
        <v>95</v>
      </c>
      <c r="C85" s="6" t="s">
        <v>52</v>
      </c>
      <c r="D85" s="6"/>
      <c r="E85" s="6"/>
      <c r="F85" s="6"/>
      <c r="G85" s="6"/>
      <c r="H85" s="6"/>
      <c r="I85" s="6"/>
      <c r="J85" s="6"/>
      <c r="K85" s="6"/>
      <c r="L85" s="6"/>
      <c r="M85" s="6"/>
    </row>
    <row r="86" spans="2:13" hidden="1">
      <c r="B86" s="12"/>
      <c r="C86" s="6" t="s">
        <v>63</v>
      </c>
      <c r="D86" s="6"/>
      <c r="E86" s="6"/>
      <c r="F86" s="6"/>
      <c r="G86" s="6"/>
      <c r="H86" s="6"/>
      <c r="I86" s="6"/>
      <c r="J86" s="6"/>
      <c r="K86" s="6"/>
      <c r="L86" s="6"/>
      <c r="M86" s="6"/>
    </row>
    <row r="87" spans="2:13" hidden="1">
      <c r="B87" s="12"/>
      <c r="C87" s="6" t="s">
        <v>65</v>
      </c>
      <c r="D87" s="6"/>
      <c r="E87" s="6"/>
      <c r="F87" s="6"/>
      <c r="G87" s="6"/>
      <c r="H87" s="6"/>
      <c r="I87" s="6"/>
      <c r="J87" s="6"/>
      <c r="K87" s="6"/>
      <c r="L87" s="6"/>
      <c r="M87" s="6"/>
    </row>
    <row r="88" spans="2:13" hidden="1">
      <c r="B88" s="12"/>
      <c r="C88" s="6" t="s">
        <v>67</v>
      </c>
      <c r="D88" s="6"/>
      <c r="E88" s="6"/>
      <c r="F88" s="6"/>
      <c r="G88" s="6"/>
      <c r="H88" s="6"/>
      <c r="I88" s="6"/>
      <c r="J88" s="6"/>
      <c r="K88" s="6"/>
      <c r="L88" s="6"/>
      <c r="M88" s="6"/>
    </row>
    <row r="89" spans="2:13" hidden="1">
      <c r="B89" s="12"/>
      <c r="C89" s="6" t="s">
        <v>68</v>
      </c>
      <c r="D89" s="6"/>
      <c r="E89" s="6"/>
      <c r="F89" s="6"/>
      <c r="G89" s="6"/>
      <c r="H89" s="6"/>
      <c r="I89" s="6"/>
      <c r="J89" s="6"/>
      <c r="K89" s="6"/>
      <c r="L89" s="6"/>
      <c r="M89" s="6"/>
    </row>
    <row r="90" spans="2:13" hidden="1">
      <c r="B90" s="12"/>
      <c r="C90" s="6" t="s">
        <v>69</v>
      </c>
      <c r="D90" s="6"/>
      <c r="E90" s="6"/>
      <c r="F90" s="6"/>
      <c r="G90" s="6"/>
      <c r="H90" s="6"/>
      <c r="I90" s="6"/>
      <c r="J90" s="6"/>
      <c r="K90" s="6"/>
      <c r="L90" s="6"/>
      <c r="M90" s="6"/>
    </row>
    <row r="91" spans="2:13" hidden="1">
      <c r="B91" s="12"/>
      <c r="C91" s="6" t="s">
        <v>71</v>
      </c>
      <c r="D91" s="6"/>
      <c r="E91" s="6"/>
      <c r="F91" s="6"/>
      <c r="G91" s="6"/>
      <c r="H91" s="6"/>
      <c r="I91" s="6"/>
      <c r="J91" s="6"/>
      <c r="K91" s="6"/>
      <c r="L91" s="6"/>
      <c r="M91" s="6"/>
    </row>
    <row r="92" spans="2:13" hidden="1">
      <c r="B92" s="12"/>
      <c r="C92" s="6" t="s">
        <v>72</v>
      </c>
      <c r="D92" s="6"/>
      <c r="E92" s="6"/>
      <c r="F92" s="6"/>
      <c r="G92" s="6"/>
      <c r="H92" s="6"/>
      <c r="I92" s="6"/>
      <c r="J92" s="6"/>
      <c r="K92" s="6"/>
      <c r="L92" s="6"/>
      <c r="M92" s="6"/>
    </row>
    <row r="93" spans="2:13" ht="91.5" hidden="1">
      <c r="B93" s="13" t="s">
        <v>103</v>
      </c>
    </row>
    <row r="94" spans="2:13" hidden="1"/>
    <row r="95" spans="2:13" hidden="1"/>
    <row r="96" spans="2:13" hidden="1"/>
    <row r="97" spans="2:7">
      <c r="B97" s="12" t="s">
        <v>104</v>
      </c>
    </row>
    <row r="98" spans="2:7" hidden="1"/>
    <row r="99" spans="2:7" hidden="1"/>
    <row r="100" spans="2:7" hidden="1">
      <c r="B100" s="32" t="s">
        <v>105</v>
      </c>
      <c r="C100" s="70"/>
      <c r="D100" s="70"/>
      <c r="E100" s="70"/>
      <c r="F100" s="70"/>
      <c r="G100" s="70"/>
    </row>
    <row r="101" spans="2:7" hidden="1">
      <c r="C101" s="70"/>
      <c r="D101" s="70"/>
      <c r="E101" s="70"/>
      <c r="F101" s="70"/>
      <c r="G101" s="70"/>
    </row>
    <row r="102" spans="2:7" hidden="1">
      <c r="C102" s="70"/>
      <c r="D102" s="70"/>
      <c r="E102" s="70"/>
      <c r="F102" s="70"/>
      <c r="G102" s="70"/>
    </row>
    <row r="103" spans="2:7" hidden="1"/>
  </sheetData>
  <mergeCells count="2">
    <mergeCell ref="D2:F2"/>
    <mergeCell ref="C100:G102"/>
  </mergeCells>
  <conditionalFormatting sqref="C4 C6:C12">
    <cfRule type="containsBlanks" dxfId="47" priority="79">
      <formula>LEN(TRIM(C4))=0</formula>
    </cfRule>
  </conditionalFormatting>
  <conditionalFormatting sqref="C20:C22">
    <cfRule type="containsBlanks" dxfId="46" priority="78">
      <formula>LEN(TRIM(C20))=0</formula>
    </cfRule>
  </conditionalFormatting>
  <conditionalFormatting sqref="C27">
    <cfRule type="containsBlanks" dxfId="45" priority="77">
      <formula>LEN(TRIM(C27))=0</formula>
    </cfRule>
  </conditionalFormatting>
  <conditionalFormatting sqref="D1">
    <cfRule type="containsBlanks" dxfId="44" priority="76">
      <formula>LEN(TRIM(D1))=0</formula>
    </cfRule>
  </conditionalFormatting>
  <conditionalFormatting sqref="D2:F2">
    <cfRule type="containsBlanks" dxfId="43" priority="75">
      <formula>LEN(TRIM(D2))=0</formula>
    </cfRule>
  </conditionalFormatting>
  <conditionalFormatting sqref="A1:L4 A93:XFD1048576 O54:XFD55 A56:L92 N56:XFD92 N1:XFD53 M1:M92 A54:J55 K54:L58 A6:L53 A5:B5 D5:L5">
    <cfRule type="beginsWith" dxfId="42" priority="2" operator="beginsWith" text="??">
      <formula>LEFT(A1,LEN("??"))="??"</formula>
    </cfRule>
  </conditionalFormatting>
  <conditionalFormatting sqref="C5">
    <cfRule type="containsBlanks" dxfId="41" priority="1">
      <formula>LEN(TRIM(C5))=0</formula>
    </cfRule>
  </conditionalFormatting>
  <dataValidations count="2">
    <dataValidation type="list" allowBlank="1" showInputMessage="1" showErrorMessage="1" sqref="C97 C25:C26 C30 C19 C40 C84 C51 C73 C62" xr:uid="{8AD8033D-1323-4970-B06E-46D3EE7E928D}">
      <formula1>"Ja,Nein"</formula1>
    </dataValidation>
    <dataValidation type="list" allowBlank="1" showInputMessage="1" showErrorMessage="1" sqref="C5" xr:uid="{3F8AF074-709D-4936-83E6-3D9CB70F13AD}">
      <formula1>"Make,Buy"</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443C9AC0-C176-45A3-BDA0-AFD87938F6E4}">
          <x14:formula1>
            <xm:f>'Process list'!$C$4:$C$78</xm:f>
          </x14:formula1>
          <xm:sqref>D53:XFD53</xm:sqref>
        </x14:dataValidation>
        <x14:dataValidation type="list" allowBlank="1" showInputMessage="1" showErrorMessage="1" xr:uid="{7256C526-DE2D-48C1-B4D9-14E5B9246D2F}">
          <x14:formula1>
            <xm:f>'Tooling list'!$C$3:$C$11</xm:f>
          </x14:formula1>
          <xm:sqref>D64:XFD64</xm:sqref>
        </x14:dataValidation>
        <x14:dataValidation type="list" allowBlank="1" showInputMessage="1" showErrorMessage="1" xr:uid="{F2AF920F-EE83-478C-9F95-1441446C993A}">
          <x14:formula1>
            <xm:f>'Fastener list'!$C$3:$C$16</xm:f>
          </x14:formula1>
          <xm:sqref>D86:XFD86</xm:sqref>
        </x14:dataValidation>
        <x14:dataValidation type="list" allowBlank="1" showInputMessage="1" showErrorMessage="1" xr:uid="{A7BF4551-9F57-4E3C-A89B-237BF5E8E37E}">
          <x14:formula1>
            <xm:f>'Mateial list'!$C$4:$C$56</xm:f>
          </x14:formula1>
          <xm:sqref>D42:I42 K42:XFD42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A5C96-54F7-4DE4-8A2E-8DD43667BC82}">
  <sheetPr codeName="Sheet10">
    <tabColor rgb="FF0070C0"/>
  </sheetPr>
  <dimension ref="A1:J103"/>
  <sheetViews>
    <sheetView zoomScale="55" zoomScaleNormal="55" workbookViewId="0">
      <selection activeCell="C5" sqref="C5"/>
    </sheetView>
  </sheetViews>
  <sheetFormatPr defaultRowHeight="15"/>
  <cols>
    <col min="1" max="1" width="10.28515625" customWidth="1"/>
    <col min="2" max="2" width="43" customWidth="1"/>
    <col min="3" max="3" width="32.140625" customWidth="1"/>
    <col min="4" max="4" width="31.85546875" bestFit="1" customWidth="1"/>
    <col min="5" max="5" width="26.85546875" bestFit="1" customWidth="1"/>
    <col min="6" max="6" width="32.140625" customWidth="1"/>
    <col min="7" max="7" width="24" customWidth="1"/>
    <col min="8" max="10" width="16" customWidth="1"/>
  </cols>
  <sheetData>
    <row r="1" spans="1:8" ht="21">
      <c r="A1" s="22" t="s">
        <v>33</v>
      </c>
      <c r="B1" s="23" t="s">
        <v>34</v>
      </c>
      <c r="C1" s="24" t="s">
        <v>35</v>
      </c>
      <c r="D1" s="25" t="s">
        <v>24</v>
      </c>
      <c r="E1" s="26"/>
      <c r="F1" s="26"/>
      <c r="G1" s="26"/>
      <c r="H1" s="26"/>
    </row>
    <row r="2" spans="1:8" ht="26.25">
      <c r="A2" s="26"/>
      <c r="B2" s="27" t="s">
        <v>37</v>
      </c>
      <c r="C2" s="31" t="s">
        <v>38</v>
      </c>
      <c r="D2" s="67" t="s">
        <v>25</v>
      </c>
      <c r="E2" s="68"/>
      <c r="F2" s="69"/>
      <c r="G2" s="30"/>
      <c r="H2" s="30"/>
    </row>
    <row r="3" spans="1:8" ht="18.75">
      <c r="B3" s="29" t="s">
        <v>2</v>
      </c>
      <c r="C3" s="28"/>
    </row>
    <row r="4" spans="1:8" ht="18" customHeight="1">
      <c r="B4" s="29" t="s">
        <v>3</v>
      </c>
      <c r="C4" s="28"/>
    </row>
    <row r="5" spans="1:8" ht="18" customHeight="1">
      <c r="B5" s="29" t="s">
        <v>4</v>
      </c>
      <c r="C5" s="28" t="s">
        <v>16</v>
      </c>
      <c r="F5" s="39" t="s">
        <v>41</v>
      </c>
    </row>
    <row r="6" spans="1:8" ht="18" customHeight="1">
      <c r="B6" s="29" t="s">
        <v>5</v>
      </c>
      <c r="C6" s="28"/>
      <c r="F6" s="58" t="s">
        <v>106</v>
      </c>
    </row>
    <row r="7" spans="1:8" ht="18" customHeight="1">
      <c r="B7" s="29" t="s">
        <v>43</v>
      </c>
      <c r="C7" s="28">
        <v>1</v>
      </c>
      <c r="D7" s="33"/>
    </row>
    <row r="8" spans="1:8" ht="18" customHeight="1">
      <c r="B8" s="29" t="s">
        <v>44</v>
      </c>
      <c r="C8" s="28"/>
      <c r="D8" s="33"/>
    </row>
    <row r="9" spans="1:8" ht="16.899999999999999" customHeight="1">
      <c r="B9" s="43" t="s">
        <v>45</v>
      </c>
      <c r="C9" s="28" t="s">
        <v>17</v>
      </c>
      <c r="D9" s="33"/>
    </row>
    <row r="10" spans="1:8" ht="19.899999999999999" customHeight="1">
      <c r="B10" s="29" t="s">
        <v>9</v>
      </c>
      <c r="C10" s="28"/>
      <c r="E10" s="34"/>
    </row>
    <row r="11" spans="1:8" ht="18.75">
      <c r="B11" s="29" t="s">
        <v>46</v>
      </c>
      <c r="C11" s="28"/>
      <c r="E11" s="34"/>
      <c r="F11" s="35"/>
    </row>
    <row r="12" spans="1:8" ht="18.75">
      <c r="B12" s="29" t="s">
        <v>47</v>
      </c>
      <c r="C12" s="28"/>
      <c r="E12" s="34"/>
      <c r="F12" s="34"/>
    </row>
    <row r="13" spans="1:8">
      <c r="F13" s="34"/>
    </row>
    <row r="14" spans="1:8" hidden="1"/>
    <row r="15" spans="1:8" hidden="1"/>
    <row r="16" spans="1:8" hidden="1"/>
    <row r="17" spans="2:5" hidden="1"/>
    <row r="18" spans="2:5" hidden="1"/>
    <row r="19" spans="2:5" ht="15" customHeight="1">
      <c r="B19" s="19" t="s">
        <v>48</v>
      </c>
      <c r="C19" s="20" t="s">
        <v>49</v>
      </c>
    </row>
    <row r="20" spans="2:5">
      <c r="B20" s="20" t="s">
        <v>50</v>
      </c>
      <c r="C20" s="6"/>
    </row>
    <row r="21" spans="2:5">
      <c r="B21" s="20" t="s">
        <v>51</v>
      </c>
      <c r="C21" s="6"/>
    </row>
    <row r="22" spans="2:5">
      <c r="B22" s="20" t="s">
        <v>52</v>
      </c>
      <c r="C22" s="6"/>
    </row>
    <row r="23" spans="2:5" hidden="1"/>
    <row r="24" spans="2:5" hidden="1"/>
    <row r="25" spans="2:5" hidden="1">
      <c r="B25" s="18" t="s">
        <v>53</v>
      </c>
      <c r="C25" s="14"/>
    </row>
    <row r="26" spans="2:5" ht="45.75" hidden="1">
      <c r="B26" s="17" t="s">
        <v>54</v>
      </c>
    </row>
    <row r="27" spans="2:5" hidden="1">
      <c r="B27" s="6" t="s">
        <v>55</v>
      </c>
      <c r="C27" s="45"/>
      <c r="E27" s="1"/>
    </row>
    <row r="28" spans="2:5" hidden="1">
      <c r="E28" s="1"/>
    </row>
    <row r="29" spans="2:5" hidden="1">
      <c r="E29" s="1"/>
    </row>
    <row r="30" spans="2:5" hidden="1">
      <c r="B30" s="18" t="s">
        <v>56</v>
      </c>
      <c r="C30" s="15"/>
      <c r="D30" s="1"/>
    </row>
    <row r="31" spans="2:5" ht="106.5" hidden="1">
      <c r="B31" s="16" t="s">
        <v>57</v>
      </c>
    </row>
    <row r="32" spans="2:5" hidden="1"/>
    <row r="33" spans="2:10" hidden="1"/>
    <row r="34" spans="2:10" hidden="1"/>
    <row r="35" spans="2:10" hidden="1"/>
    <row r="36" spans="2:10" hidden="1"/>
    <row r="37" spans="2:10" hidden="1"/>
    <row r="38" spans="2:10" hidden="1"/>
    <row r="39" spans="2:10">
      <c r="B39" s="21" t="s">
        <v>58</v>
      </c>
      <c r="C39" t="s">
        <v>60</v>
      </c>
    </row>
    <row r="40" spans="2:10">
      <c r="B40" s="7" t="s">
        <v>59</v>
      </c>
      <c r="C40" t="s">
        <v>60</v>
      </c>
    </row>
    <row r="41" spans="2:10" ht="19.149999999999999" customHeight="1">
      <c r="B41" s="2" t="s">
        <v>61</v>
      </c>
      <c r="C41" s="6" t="s">
        <v>52</v>
      </c>
      <c r="D41" s="6"/>
      <c r="E41" s="6"/>
      <c r="F41" s="6"/>
      <c r="G41" s="6"/>
      <c r="H41" s="6"/>
      <c r="I41" s="6"/>
      <c r="J41" s="40"/>
    </row>
    <row r="42" spans="2:10" ht="16.899999999999999" customHeight="1">
      <c r="B42" s="2"/>
      <c r="C42" s="6" t="s">
        <v>63</v>
      </c>
      <c r="D42" s="6"/>
      <c r="E42" s="6"/>
      <c r="F42" s="6"/>
      <c r="G42" s="6"/>
      <c r="H42" s="6"/>
      <c r="I42" s="38"/>
      <c r="J42" s="39"/>
    </row>
    <row r="43" spans="2:10" ht="14.45" customHeight="1">
      <c r="B43" s="2"/>
      <c r="C43" s="6" t="s">
        <v>65</v>
      </c>
      <c r="D43" s="6"/>
      <c r="E43" s="6"/>
      <c r="F43" s="6"/>
      <c r="G43" s="6"/>
      <c r="H43" s="6"/>
      <c r="I43" s="6"/>
      <c r="J43" s="41"/>
    </row>
    <row r="44" spans="2:10">
      <c r="B44" s="2"/>
      <c r="C44" s="6" t="s">
        <v>67</v>
      </c>
      <c r="D44" s="6"/>
      <c r="E44" s="6"/>
      <c r="F44" s="6"/>
      <c r="G44" s="6"/>
      <c r="H44" s="6"/>
      <c r="I44" s="6"/>
      <c r="J44" s="6"/>
    </row>
    <row r="45" spans="2:10">
      <c r="B45" s="2"/>
      <c r="C45" s="6" t="s">
        <v>68</v>
      </c>
      <c r="D45" s="6"/>
      <c r="E45" s="6"/>
      <c r="F45" s="6"/>
      <c r="G45" s="6"/>
      <c r="H45" s="6"/>
      <c r="I45" s="6"/>
      <c r="J45" s="6"/>
    </row>
    <row r="46" spans="2:10">
      <c r="B46" s="2"/>
      <c r="C46" s="6" t="s">
        <v>69</v>
      </c>
      <c r="D46" s="6"/>
      <c r="E46" s="6"/>
      <c r="F46" s="6"/>
      <c r="G46" s="6"/>
      <c r="H46" s="6"/>
      <c r="I46" s="6"/>
      <c r="J46" s="6"/>
    </row>
    <row r="47" spans="2:10">
      <c r="B47" s="2"/>
      <c r="C47" s="6" t="s">
        <v>71</v>
      </c>
      <c r="D47" s="6"/>
      <c r="E47" s="6"/>
      <c r="F47" s="6"/>
      <c r="G47" s="6"/>
      <c r="H47" s="6"/>
      <c r="I47" s="6"/>
      <c r="J47" s="6"/>
    </row>
    <row r="48" spans="2:10">
      <c r="B48" s="2"/>
      <c r="C48" s="6" t="s">
        <v>72</v>
      </c>
      <c r="D48" s="6"/>
      <c r="E48" s="6"/>
      <c r="F48" s="6"/>
      <c r="G48" s="6"/>
      <c r="H48" s="6"/>
      <c r="I48" s="6"/>
      <c r="J48" s="6"/>
    </row>
    <row r="51" spans="2:10">
      <c r="B51" s="8" t="s">
        <v>73</v>
      </c>
      <c r="C51" t="s">
        <v>60</v>
      </c>
    </row>
    <row r="52" spans="2:10" ht="15" customHeight="1">
      <c r="B52" s="3" t="s">
        <v>74</v>
      </c>
      <c r="C52" s="6" t="s">
        <v>52</v>
      </c>
      <c r="D52" s="6"/>
      <c r="E52" s="6"/>
      <c r="F52" s="6"/>
      <c r="G52" s="6"/>
      <c r="H52" s="6"/>
      <c r="I52" s="6"/>
      <c r="J52" s="6"/>
    </row>
    <row r="53" spans="2:10">
      <c r="B53" s="3"/>
      <c r="C53" s="6" t="s">
        <v>63</v>
      </c>
      <c r="D53" s="6" t="s">
        <v>110</v>
      </c>
      <c r="E53" s="6" t="s">
        <v>110</v>
      </c>
      <c r="F53" s="6" t="s">
        <v>111</v>
      </c>
      <c r="G53" s="6" t="s">
        <v>111</v>
      </c>
      <c r="H53" s="6" t="s">
        <v>111</v>
      </c>
      <c r="I53" s="6" t="s">
        <v>112</v>
      </c>
      <c r="J53" s="6" t="s">
        <v>115</v>
      </c>
    </row>
    <row r="54" spans="2:10">
      <c r="B54" s="3"/>
      <c r="C54" s="6" t="s">
        <v>65</v>
      </c>
      <c r="D54" s="6" t="s">
        <v>139</v>
      </c>
      <c r="E54" s="6" t="s">
        <v>117</v>
      </c>
      <c r="F54" s="6" t="s">
        <v>140</v>
      </c>
      <c r="G54" s="6" t="s">
        <v>141</v>
      </c>
      <c r="H54" s="6" t="s">
        <v>142</v>
      </c>
      <c r="I54" s="6" t="s">
        <v>143</v>
      </c>
      <c r="J54" s="6" t="s">
        <v>144</v>
      </c>
    </row>
    <row r="55" spans="2:10">
      <c r="B55" s="3"/>
      <c r="C55" s="6" t="s">
        <v>67</v>
      </c>
      <c r="D55" s="6" t="s">
        <v>127</v>
      </c>
      <c r="E55" s="6" t="s">
        <v>127</v>
      </c>
      <c r="F55" s="6" t="s">
        <v>127</v>
      </c>
      <c r="G55" s="6" t="s">
        <v>145</v>
      </c>
      <c r="H55" s="6" t="s">
        <v>146</v>
      </c>
      <c r="I55" s="6" t="s">
        <v>147</v>
      </c>
      <c r="J55" s="6" t="s">
        <v>147</v>
      </c>
    </row>
    <row r="56" spans="2:10">
      <c r="B56" s="3"/>
      <c r="C56" s="6" t="s">
        <v>68</v>
      </c>
      <c r="D56" s="6"/>
      <c r="E56" s="6"/>
      <c r="F56" s="6"/>
      <c r="G56" s="6"/>
      <c r="H56" s="6"/>
      <c r="I56" s="6"/>
      <c r="J56" s="6"/>
    </row>
    <row r="57" spans="2:10">
      <c r="B57" s="3"/>
      <c r="C57" s="6" t="s">
        <v>69</v>
      </c>
      <c r="D57" s="6" t="s">
        <v>148</v>
      </c>
      <c r="E57" s="6" t="s">
        <v>148</v>
      </c>
      <c r="F57" s="6" t="s">
        <v>149</v>
      </c>
      <c r="G57" s="6" t="s">
        <v>149</v>
      </c>
      <c r="H57" s="6" t="s">
        <v>149</v>
      </c>
      <c r="I57" s="6"/>
      <c r="J57" s="6"/>
    </row>
    <row r="58" spans="2:10">
      <c r="B58" s="3"/>
      <c r="C58" s="6" t="s">
        <v>71</v>
      </c>
      <c r="D58" s="6"/>
      <c r="E58" s="6"/>
      <c r="F58" s="6"/>
      <c r="G58" s="6"/>
      <c r="H58" s="6"/>
      <c r="I58" s="6"/>
      <c r="J58" s="6"/>
    </row>
    <row r="59" spans="2:10">
      <c r="B59" s="3"/>
      <c r="C59" s="6" t="s">
        <v>72</v>
      </c>
      <c r="D59" s="6"/>
      <c r="E59" s="6"/>
      <c r="F59" s="6"/>
      <c r="G59" s="6"/>
      <c r="H59" s="6"/>
      <c r="I59" s="6"/>
      <c r="J59" s="6"/>
    </row>
    <row r="62" spans="2:10" ht="15.75" customHeight="1">
      <c r="B62" s="9" t="s">
        <v>86</v>
      </c>
    </row>
    <row r="63" spans="2:10" hidden="1">
      <c r="B63" s="4" t="s">
        <v>87</v>
      </c>
      <c r="C63" s="6" t="s">
        <v>52</v>
      </c>
      <c r="D63" s="6"/>
      <c r="E63" s="6"/>
      <c r="F63" s="6"/>
      <c r="G63" s="6"/>
      <c r="H63" s="6"/>
      <c r="I63" s="6"/>
      <c r="J63" s="6"/>
    </row>
    <row r="64" spans="2:10" hidden="1">
      <c r="B64" s="4"/>
      <c r="C64" s="6" t="s">
        <v>63</v>
      </c>
      <c r="D64" s="6"/>
      <c r="E64" s="6"/>
      <c r="F64" s="6"/>
      <c r="G64" s="6"/>
      <c r="H64" s="6"/>
      <c r="I64" s="6"/>
      <c r="J64" s="6"/>
    </row>
    <row r="65" spans="2:10" hidden="1">
      <c r="B65" s="4"/>
      <c r="C65" s="6" t="s">
        <v>65</v>
      </c>
      <c r="D65" s="6"/>
      <c r="E65" s="6"/>
      <c r="F65" s="6"/>
      <c r="G65" s="6"/>
      <c r="H65" s="6"/>
      <c r="I65" s="6"/>
      <c r="J65" s="6"/>
    </row>
    <row r="66" spans="2:10" hidden="1">
      <c r="B66" s="4"/>
      <c r="C66" s="6" t="s">
        <v>67</v>
      </c>
      <c r="D66" s="6"/>
      <c r="E66" s="6"/>
      <c r="F66" s="6"/>
      <c r="G66" s="6"/>
      <c r="H66" s="6"/>
      <c r="I66" s="6"/>
      <c r="J66" s="6"/>
    </row>
    <row r="67" spans="2:10" hidden="1">
      <c r="B67" s="4"/>
      <c r="C67" s="6" t="s">
        <v>68</v>
      </c>
      <c r="D67" s="6"/>
      <c r="E67" s="6"/>
      <c r="F67" s="6"/>
      <c r="G67" s="6"/>
      <c r="H67" s="6"/>
      <c r="I67" s="6"/>
      <c r="J67" s="6"/>
    </row>
    <row r="68" spans="2:10" hidden="1">
      <c r="B68" s="4"/>
      <c r="C68" s="6" t="s">
        <v>69</v>
      </c>
      <c r="D68" s="6"/>
      <c r="E68" s="6"/>
      <c r="F68" s="6"/>
      <c r="G68" s="6"/>
      <c r="H68" s="6"/>
      <c r="I68" s="6"/>
      <c r="J68" s="6"/>
    </row>
    <row r="69" spans="2:10" hidden="1">
      <c r="B69" s="4"/>
      <c r="C69" s="6" t="s">
        <v>71</v>
      </c>
      <c r="D69" s="6"/>
      <c r="E69" s="6"/>
      <c r="F69" s="6"/>
      <c r="G69" s="6"/>
      <c r="H69" s="6"/>
      <c r="I69" s="6"/>
      <c r="J69" s="6"/>
    </row>
    <row r="70" spans="2:10" hidden="1">
      <c r="B70" s="4"/>
      <c r="C70" s="6" t="s">
        <v>72</v>
      </c>
      <c r="D70" s="6"/>
      <c r="E70" s="6"/>
      <c r="F70" s="6"/>
      <c r="G70" s="6"/>
      <c r="H70" s="6"/>
      <c r="I70" s="6"/>
      <c r="J70" s="6"/>
    </row>
    <row r="71" spans="2:10" hidden="1"/>
    <row r="72" spans="2:10" hidden="1"/>
    <row r="73" spans="2:10">
      <c r="B73" s="10" t="s">
        <v>88</v>
      </c>
      <c r="C73" t="s">
        <v>60</v>
      </c>
    </row>
    <row r="74" spans="2:10">
      <c r="B74" s="5" t="s">
        <v>89</v>
      </c>
      <c r="C74" s="6" t="s">
        <v>52</v>
      </c>
      <c r="D74" s="6"/>
      <c r="E74" s="6"/>
      <c r="F74" s="6"/>
      <c r="G74" s="6"/>
      <c r="H74" s="6"/>
      <c r="I74" s="6"/>
      <c r="J74" s="6"/>
    </row>
    <row r="75" spans="2:10">
      <c r="B75" s="5"/>
      <c r="C75" s="6" t="s">
        <v>63</v>
      </c>
      <c r="D75" s="6"/>
      <c r="E75" s="6"/>
      <c r="F75" s="6"/>
      <c r="G75" s="6"/>
      <c r="H75" s="6"/>
      <c r="I75" s="6"/>
      <c r="J75" s="6"/>
    </row>
    <row r="76" spans="2:10">
      <c r="B76" s="5"/>
      <c r="C76" s="6" t="s">
        <v>65</v>
      </c>
      <c r="D76" s="6"/>
      <c r="E76" s="6"/>
      <c r="F76" s="6"/>
      <c r="G76" s="6"/>
      <c r="H76" s="6"/>
      <c r="I76" s="6"/>
      <c r="J76" s="6"/>
    </row>
    <row r="77" spans="2:10">
      <c r="B77" s="5"/>
      <c r="C77" s="6" t="s">
        <v>67</v>
      </c>
      <c r="D77" s="6"/>
      <c r="E77" s="6"/>
      <c r="F77" s="6"/>
      <c r="G77" s="6"/>
      <c r="H77" s="6"/>
      <c r="I77" s="6"/>
      <c r="J77" s="6"/>
    </row>
    <row r="78" spans="2:10">
      <c r="B78" s="5"/>
      <c r="C78" s="6" t="s">
        <v>68</v>
      </c>
      <c r="D78" s="6"/>
      <c r="E78" s="6"/>
      <c r="F78" s="6"/>
      <c r="G78" s="6"/>
      <c r="H78" s="6"/>
      <c r="I78" s="6"/>
      <c r="J78" s="6"/>
    </row>
    <row r="79" spans="2:10">
      <c r="B79" s="5"/>
      <c r="C79" s="6" t="s">
        <v>69</v>
      </c>
      <c r="D79" s="6"/>
      <c r="E79" s="6"/>
      <c r="F79" s="6"/>
      <c r="G79" s="6"/>
      <c r="H79" s="6"/>
      <c r="I79" s="6"/>
      <c r="J79" s="6"/>
    </row>
    <row r="80" spans="2:10">
      <c r="B80" s="5"/>
      <c r="C80" s="6" t="s">
        <v>71</v>
      </c>
      <c r="D80" s="6"/>
      <c r="E80" s="6"/>
      <c r="F80" s="6"/>
      <c r="G80" s="6"/>
      <c r="H80" s="6"/>
      <c r="I80" s="6"/>
      <c r="J80" s="6"/>
    </row>
    <row r="81" spans="2:10">
      <c r="B81" s="5"/>
      <c r="C81" s="6" t="s">
        <v>72</v>
      </c>
      <c r="D81" s="6"/>
      <c r="E81" s="6"/>
      <c r="F81" s="6"/>
      <c r="G81" s="6"/>
      <c r="H81" s="6"/>
      <c r="I81" s="6"/>
      <c r="J81" s="6"/>
    </row>
    <row r="84" spans="2:10">
      <c r="B84" s="11" t="s">
        <v>94</v>
      </c>
    </row>
    <row r="85" spans="2:10" hidden="1">
      <c r="B85" s="12" t="s">
        <v>95</v>
      </c>
      <c r="C85" s="6" t="s">
        <v>52</v>
      </c>
      <c r="D85" s="6"/>
      <c r="E85" s="6"/>
      <c r="F85" s="6"/>
      <c r="G85" s="6"/>
      <c r="H85" s="6"/>
      <c r="I85" s="6"/>
      <c r="J85" s="6"/>
    </row>
    <row r="86" spans="2:10" hidden="1">
      <c r="B86" s="12"/>
      <c r="C86" s="6" t="s">
        <v>63</v>
      </c>
      <c r="D86" s="6"/>
      <c r="E86" s="6"/>
      <c r="F86" s="6"/>
      <c r="G86" s="6"/>
      <c r="H86" s="6"/>
      <c r="I86" s="6"/>
      <c r="J86" s="6"/>
    </row>
    <row r="87" spans="2:10" hidden="1">
      <c r="B87" s="12"/>
      <c r="C87" s="6" t="s">
        <v>65</v>
      </c>
      <c r="D87" s="6"/>
      <c r="E87" s="6"/>
      <c r="F87" s="6"/>
      <c r="G87" s="6"/>
      <c r="H87" s="6"/>
      <c r="I87" s="6"/>
      <c r="J87" s="6"/>
    </row>
    <row r="88" spans="2:10" hidden="1">
      <c r="B88" s="12"/>
      <c r="C88" s="6" t="s">
        <v>67</v>
      </c>
      <c r="D88" s="6"/>
      <c r="E88" s="6"/>
      <c r="F88" s="6"/>
      <c r="G88" s="6"/>
      <c r="H88" s="6"/>
      <c r="I88" s="6"/>
      <c r="J88" s="6"/>
    </row>
    <row r="89" spans="2:10" hidden="1">
      <c r="B89" s="12"/>
      <c r="C89" s="6" t="s">
        <v>68</v>
      </c>
      <c r="D89" s="6"/>
      <c r="E89" s="6"/>
      <c r="F89" s="6"/>
      <c r="G89" s="6"/>
      <c r="H89" s="6"/>
      <c r="I89" s="6"/>
      <c r="J89" s="6"/>
    </row>
    <row r="90" spans="2:10" hidden="1">
      <c r="B90" s="12"/>
      <c r="C90" s="6" t="s">
        <v>69</v>
      </c>
      <c r="D90" s="6"/>
      <c r="E90" s="6"/>
      <c r="F90" s="6"/>
      <c r="G90" s="6"/>
      <c r="H90" s="6"/>
      <c r="I90" s="6"/>
      <c r="J90" s="6"/>
    </row>
    <row r="91" spans="2:10" hidden="1">
      <c r="B91" s="12"/>
      <c r="C91" s="6" t="s">
        <v>71</v>
      </c>
      <c r="D91" s="6"/>
      <c r="E91" s="6"/>
      <c r="F91" s="6"/>
      <c r="G91" s="6"/>
      <c r="H91" s="6"/>
      <c r="I91" s="6"/>
      <c r="J91" s="6"/>
    </row>
    <row r="92" spans="2:10" hidden="1">
      <c r="B92" s="12"/>
      <c r="C92" s="6" t="s">
        <v>72</v>
      </c>
      <c r="D92" s="6"/>
      <c r="E92" s="6"/>
      <c r="F92" s="6"/>
      <c r="G92" s="6"/>
      <c r="H92" s="6"/>
      <c r="I92" s="6"/>
      <c r="J92" s="6"/>
    </row>
    <row r="93" spans="2:10" ht="91.5" hidden="1">
      <c r="B93" s="13" t="s">
        <v>103</v>
      </c>
    </row>
    <row r="94" spans="2:10" hidden="1"/>
    <row r="95" spans="2:10" hidden="1"/>
    <row r="96" spans="2:10" hidden="1"/>
    <row r="97" spans="2:7">
      <c r="B97" s="12" t="s">
        <v>104</v>
      </c>
    </row>
    <row r="98" spans="2:7" hidden="1"/>
    <row r="99" spans="2:7" hidden="1"/>
    <row r="100" spans="2:7" hidden="1">
      <c r="B100" s="32" t="s">
        <v>105</v>
      </c>
      <c r="C100" s="70"/>
      <c r="D100" s="70"/>
      <c r="E100" s="70"/>
      <c r="F100" s="70"/>
      <c r="G100" s="70"/>
    </row>
    <row r="101" spans="2:7" hidden="1">
      <c r="C101" s="70"/>
      <c r="D101" s="70"/>
      <c r="E101" s="70"/>
      <c r="F101" s="70"/>
      <c r="G101" s="70"/>
    </row>
    <row r="102" spans="2:7" hidden="1">
      <c r="C102" s="70"/>
      <c r="D102" s="70"/>
      <c r="E102" s="70"/>
      <c r="F102" s="70"/>
      <c r="G102" s="70"/>
    </row>
    <row r="103" spans="2:7" hidden="1"/>
  </sheetData>
  <mergeCells count="2">
    <mergeCell ref="D2:F2"/>
    <mergeCell ref="C100:G102"/>
  </mergeCells>
  <conditionalFormatting sqref="C3:C4 C6:C12">
    <cfRule type="containsBlanks" dxfId="40" priority="6">
      <formula>LEN(TRIM(C3))=0</formula>
    </cfRule>
  </conditionalFormatting>
  <conditionalFormatting sqref="C20:C22">
    <cfRule type="containsBlanks" dxfId="39" priority="5">
      <formula>LEN(TRIM(C20))=0</formula>
    </cfRule>
  </conditionalFormatting>
  <conditionalFormatting sqref="C27">
    <cfRule type="containsBlanks" dxfId="38" priority="4">
      <formula>LEN(TRIM(C27))=0</formula>
    </cfRule>
  </conditionalFormatting>
  <conditionalFormatting sqref="D1">
    <cfRule type="containsBlanks" dxfId="37" priority="3">
      <formula>LEN(TRIM(D1))=0</formula>
    </cfRule>
  </conditionalFormatting>
  <conditionalFormatting sqref="D2:F2">
    <cfRule type="containsBlanks" dxfId="36" priority="2">
      <formula>LEN(TRIM(D2))=0</formula>
    </cfRule>
  </conditionalFormatting>
  <conditionalFormatting sqref="C5">
    <cfRule type="containsBlanks" dxfId="35" priority="1">
      <formula>LEN(TRIM(C5))=0</formula>
    </cfRule>
  </conditionalFormatting>
  <dataValidations count="2">
    <dataValidation type="list" allowBlank="1" showInputMessage="1" showErrorMessage="1" sqref="C97 C25:C26 C30 C19 C40 C84 C51 C73 C62" xr:uid="{BAE3C1E8-0EF0-461A-B31E-B7D5DF7BFDAD}">
      <formula1>"Ja,Nein"</formula1>
    </dataValidation>
    <dataValidation type="list" allowBlank="1" showInputMessage="1" showErrorMessage="1" sqref="C5" xr:uid="{4A99E2A7-DD90-438A-8B1B-7B20D4623884}">
      <formula1>"Make,Buy"</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C95BC048-E8CE-42FF-81C2-7DB50CF4426F}">
          <x14:formula1>
            <xm:f>'Mateial list'!$C$4:$C$56</xm:f>
          </x14:formula1>
          <xm:sqref>D42:XFD42</xm:sqref>
        </x14:dataValidation>
        <x14:dataValidation type="list" allowBlank="1" showInputMessage="1" showErrorMessage="1" xr:uid="{F13F8198-8E31-4CF2-ABE3-78F6437C9BAF}">
          <x14:formula1>
            <xm:f>'Process list'!$C$4:$C$78</xm:f>
          </x14:formula1>
          <xm:sqref>D53:XFD53</xm:sqref>
        </x14:dataValidation>
        <x14:dataValidation type="list" allowBlank="1" showInputMessage="1" showErrorMessage="1" xr:uid="{216BE291-F2C7-4330-8CA6-7423239F8BFE}">
          <x14:formula1>
            <xm:f>'Tooling list'!$C$3:$C$11</xm:f>
          </x14:formula1>
          <xm:sqref>D64:XFD64</xm:sqref>
        </x14:dataValidation>
        <x14:dataValidation type="list" allowBlank="1" showInputMessage="1" showErrorMessage="1" xr:uid="{7A02F418-4237-40A2-BFDF-9CD7ED0A9D8B}">
          <x14:formula1>
            <xm:f>'Fastener list'!$C$3:$C$16</xm:f>
          </x14:formula1>
          <xm:sqref>D86:XFD86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CA89B-F47A-49F1-BE97-0292D8808D4C}">
  <sheetPr codeName="Sheet12">
    <tabColor rgb="FF0070C0"/>
  </sheetPr>
  <dimension ref="A1:J103"/>
  <sheetViews>
    <sheetView zoomScale="55" zoomScaleNormal="55" workbookViewId="0">
      <selection activeCell="C5" sqref="C5"/>
    </sheetView>
  </sheetViews>
  <sheetFormatPr defaultRowHeight="15"/>
  <cols>
    <col min="1" max="1" width="10.28515625" customWidth="1"/>
    <col min="2" max="2" width="43" customWidth="1"/>
    <col min="3" max="3" width="32.140625" customWidth="1"/>
    <col min="4" max="4" width="31.85546875" bestFit="1" customWidth="1"/>
    <col min="5" max="5" width="26.85546875" bestFit="1" customWidth="1"/>
    <col min="6" max="6" width="32.140625" customWidth="1"/>
    <col min="7" max="7" width="24" customWidth="1"/>
    <col min="8" max="10" width="16" customWidth="1"/>
  </cols>
  <sheetData>
    <row r="1" spans="1:8" ht="21">
      <c r="A1" s="22" t="s">
        <v>33</v>
      </c>
      <c r="B1" s="23" t="s">
        <v>34</v>
      </c>
      <c r="C1" s="24" t="s">
        <v>35</v>
      </c>
      <c r="D1" s="25" t="s">
        <v>13</v>
      </c>
      <c r="E1" s="26"/>
      <c r="F1" s="26"/>
      <c r="G1" s="26"/>
      <c r="H1" s="26"/>
    </row>
    <row r="2" spans="1:8" ht="26.25">
      <c r="A2" s="26"/>
      <c r="B2" s="27" t="s">
        <v>37</v>
      </c>
      <c r="C2" s="31" t="s">
        <v>38</v>
      </c>
      <c r="D2" s="67" t="s">
        <v>14</v>
      </c>
      <c r="E2" s="68"/>
      <c r="F2" s="69"/>
      <c r="G2" s="30"/>
      <c r="H2" s="30"/>
    </row>
    <row r="3" spans="1:8" ht="18.75">
      <c r="B3" s="29" t="s">
        <v>2</v>
      </c>
      <c r="C3" s="28" t="s">
        <v>15</v>
      </c>
    </row>
    <row r="4" spans="1:8" ht="18" customHeight="1">
      <c r="B4" s="29" t="s">
        <v>3</v>
      </c>
      <c r="C4" s="28"/>
    </row>
    <row r="5" spans="1:8" ht="18" customHeight="1">
      <c r="B5" s="29" t="s">
        <v>4</v>
      </c>
      <c r="C5" s="28" t="s">
        <v>16</v>
      </c>
      <c r="F5" s="39" t="s">
        <v>41</v>
      </c>
    </row>
    <row r="6" spans="1:8" ht="18" customHeight="1">
      <c r="B6" s="29" t="s">
        <v>5</v>
      </c>
      <c r="C6" s="49">
        <v>0.25</v>
      </c>
      <c r="F6" s="58" t="s">
        <v>106</v>
      </c>
    </row>
    <row r="7" spans="1:8" ht="18" customHeight="1">
      <c r="B7" s="29" t="s">
        <v>43</v>
      </c>
      <c r="C7" s="28">
        <v>1</v>
      </c>
      <c r="D7" s="33"/>
    </row>
    <row r="8" spans="1:8" ht="18" customHeight="1">
      <c r="B8" s="29" t="s">
        <v>44</v>
      </c>
      <c r="C8" s="28"/>
      <c r="D8" s="33"/>
    </row>
    <row r="9" spans="1:8" ht="16.899999999999999" customHeight="1">
      <c r="B9" s="43" t="s">
        <v>45</v>
      </c>
      <c r="C9" s="28" t="s">
        <v>17</v>
      </c>
      <c r="D9" s="33"/>
    </row>
    <row r="10" spans="1:8" ht="19.899999999999999" customHeight="1">
      <c r="B10" s="29" t="s">
        <v>9</v>
      </c>
      <c r="C10" s="28"/>
      <c r="E10" s="34"/>
    </row>
    <row r="11" spans="1:8" ht="18.75">
      <c r="B11" s="29" t="s">
        <v>46</v>
      </c>
      <c r="C11" s="28"/>
      <c r="E11" s="34"/>
      <c r="F11" s="35"/>
    </row>
    <row r="12" spans="1:8" ht="18.75">
      <c r="B12" s="29" t="s">
        <v>47</v>
      </c>
      <c r="C12" s="28"/>
      <c r="E12" s="34"/>
      <c r="F12" s="34"/>
    </row>
    <row r="13" spans="1:8">
      <c r="F13" s="34"/>
    </row>
    <row r="14" spans="1:8" hidden="1"/>
    <row r="15" spans="1:8" hidden="1"/>
    <row r="16" spans="1:8" hidden="1"/>
    <row r="17" spans="2:5" hidden="1"/>
    <row r="18" spans="2:5" hidden="1"/>
    <row r="19" spans="2:5" ht="15" customHeight="1">
      <c r="B19" s="19" t="s">
        <v>48</v>
      </c>
      <c r="C19" s="20" t="s">
        <v>49</v>
      </c>
    </row>
    <row r="20" spans="2:5">
      <c r="B20" s="20" t="s">
        <v>50</v>
      </c>
      <c r="C20" s="6" t="s">
        <v>150</v>
      </c>
    </row>
    <row r="21" spans="2:5">
      <c r="B21" s="20" t="s">
        <v>51</v>
      </c>
      <c r="C21" s="6" t="s">
        <v>150</v>
      </c>
    </row>
    <row r="22" spans="2:5">
      <c r="B22" s="20" t="s">
        <v>52</v>
      </c>
      <c r="C22" s="6" t="s">
        <v>150</v>
      </c>
    </row>
    <row r="23" spans="2:5" hidden="1"/>
    <row r="24" spans="2:5" hidden="1"/>
    <row r="25" spans="2:5" hidden="1">
      <c r="B25" s="18" t="s">
        <v>53</v>
      </c>
      <c r="C25" s="14"/>
    </row>
    <row r="26" spans="2:5" ht="45.75" hidden="1">
      <c r="B26" s="17" t="s">
        <v>54</v>
      </c>
    </row>
    <row r="27" spans="2:5" hidden="1">
      <c r="B27" s="6" t="s">
        <v>55</v>
      </c>
      <c r="C27" s="45"/>
      <c r="E27" s="1"/>
    </row>
    <row r="28" spans="2:5" hidden="1">
      <c r="E28" s="1"/>
    </row>
    <row r="29" spans="2:5" hidden="1">
      <c r="E29" s="1"/>
    </row>
    <row r="30" spans="2:5" hidden="1">
      <c r="B30" s="18" t="s">
        <v>56</v>
      </c>
      <c r="C30" s="15"/>
      <c r="D30" s="1"/>
    </row>
    <row r="31" spans="2:5" ht="106.5" hidden="1">
      <c r="B31" s="16" t="s">
        <v>57</v>
      </c>
    </row>
    <row r="32" spans="2:5" hidden="1"/>
    <row r="33" spans="2:10" hidden="1"/>
    <row r="34" spans="2:10" hidden="1"/>
    <row r="35" spans="2:10" hidden="1"/>
    <row r="36" spans="2:10" hidden="1"/>
    <row r="37" spans="2:10" hidden="1"/>
    <row r="38" spans="2:10" hidden="1"/>
    <row r="39" spans="2:10">
      <c r="B39" s="21" t="s">
        <v>58</v>
      </c>
    </row>
    <row r="40" spans="2:10">
      <c r="B40" s="7" t="s">
        <v>59</v>
      </c>
      <c r="C40" t="s">
        <v>60</v>
      </c>
    </row>
    <row r="41" spans="2:10" ht="19.149999999999999" customHeight="1">
      <c r="B41" s="2" t="s">
        <v>61</v>
      </c>
      <c r="C41" s="6" t="s">
        <v>52</v>
      </c>
      <c r="D41" s="6"/>
      <c r="E41" s="6"/>
      <c r="F41" s="6"/>
      <c r="G41" s="6"/>
      <c r="H41" s="6"/>
      <c r="I41" s="6"/>
      <c r="J41" s="40"/>
    </row>
    <row r="42" spans="2:10" ht="16.899999999999999" customHeight="1">
      <c r="B42" s="2"/>
      <c r="C42" s="6" t="s">
        <v>63</v>
      </c>
      <c r="D42" s="6" t="s">
        <v>151</v>
      </c>
      <c r="E42" s="6" t="s">
        <v>115</v>
      </c>
      <c r="F42" s="6"/>
      <c r="G42" s="6"/>
      <c r="H42" s="6"/>
      <c r="I42" s="38"/>
      <c r="J42" s="39"/>
    </row>
    <row r="43" spans="2:10" ht="14.45" customHeight="1">
      <c r="B43" s="2"/>
      <c r="C43" s="6" t="s">
        <v>65</v>
      </c>
      <c r="D43" s="6" t="s">
        <v>152</v>
      </c>
      <c r="E43" s="6" t="s">
        <v>153</v>
      </c>
      <c r="F43" s="6"/>
      <c r="G43" s="6"/>
      <c r="H43" s="6"/>
      <c r="I43" s="6"/>
      <c r="J43" s="41"/>
    </row>
    <row r="44" spans="2:10">
      <c r="B44" s="2"/>
      <c r="C44" s="6" t="s">
        <v>67</v>
      </c>
      <c r="D44" s="6">
        <v>1</v>
      </c>
      <c r="E44" s="6"/>
      <c r="F44" s="6"/>
      <c r="G44" s="6"/>
      <c r="H44" s="6"/>
      <c r="I44" s="6"/>
      <c r="J44" s="6"/>
    </row>
    <row r="45" spans="2:10">
      <c r="B45" s="2"/>
      <c r="C45" s="6" t="s">
        <v>68</v>
      </c>
      <c r="D45" s="6"/>
      <c r="E45" s="6"/>
      <c r="F45" s="6"/>
      <c r="G45" s="6"/>
      <c r="H45" s="6"/>
      <c r="I45" s="6"/>
      <c r="J45" s="6"/>
    </row>
    <row r="46" spans="2:10">
      <c r="B46" s="2"/>
      <c r="C46" s="6" t="s">
        <v>69</v>
      </c>
      <c r="D46" s="6"/>
      <c r="E46" s="6"/>
      <c r="F46" s="6"/>
      <c r="G46" s="6"/>
      <c r="H46" s="6"/>
      <c r="I46" s="6"/>
      <c r="J46" s="6"/>
    </row>
    <row r="47" spans="2:10">
      <c r="B47" s="2"/>
      <c r="C47" s="6" t="s">
        <v>71</v>
      </c>
      <c r="D47" s="6"/>
      <c r="E47" s="6"/>
      <c r="F47" s="6"/>
      <c r="G47" s="6"/>
      <c r="H47" s="6"/>
      <c r="I47" s="6"/>
      <c r="J47" s="6"/>
    </row>
    <row r="48" spans="2:10">
      <c r="B48" s="2"/>
      <c r="C48" s="6" t="s">
        <v>72</v>
      </c>
      <c r="D48" s="6"/>
      <c r="E48" s="6"/>
      <c r="F48" s="6"/>
      <c r="G48" s="6"/>
      <c r="H48" s="6"/>
      <c r="I48" s="6"/>
      <c r="J48" s="6"/>
    </row>
    <row r="51" spans="2:10">
      <c r="B51" s="8" t="s">
        <v>73</v>
      </c>
      <c r="C51" t="s">
        <v>60</v>
      </c>
    </row>
    <row r="52" spans="2:10" ht="15" customHeight="1">
      <c r="B52" s="3" t="s">
        <v>74</v>
      </c>
      <c r="C52" s="6" t="s">
        <v>52</v>
      </c>
      <c r="D52" s="6"/>
      <c r="E52" s="6"/>
      <c r="F52" s="6"/>
      <c r="G52" s="6"/>
      <c r="H52" s="6"/>
      <c r="I52" s="6"/>
      <c r="J52" s="6"/>
    </row>
    <row r="53" spans="2:10">
      <c r="B53" s="3"/>
      <c r="C53" s="6" t="s">
        <v>63</v>
      </c>
      <c r="D53" s="6" t="s">
        <v>111</v>
      </c>
      <c r="E53" s="6"/>
      <c r="F53" s="6"/>
      <c r="G53" s="6"/>
      <c r="H53" s="6"/>
      <c r="I53" s="6"/>
      <c r="J53" s="6"/>
    </row>
    <row r="54" spans="2:10">
      <c r="B54" s="3"/>
      <c r="C54" s="6" t="s">
        <v>65</v>
      </c>
      <c r="D54" s="6" t="s">
        <v>154</v>
      </c>
      <c r="E54" s="6"/>
      <c r="F54" s="6"/>
      <c r="G54" s="6"/>
      <c r="H54" s="6"/>
      <c r="I54" s="6"/>
      <c r="J54" s="6"/>
    </row>
    <row r="55" spans="2:10">
      <c r="B55" s="3"/>
      <c r="C55" s="6" t="s">
        <v>67</v>
      </c>
      <c r="D55" s="6">
        <v>1</v>
      </c>
      <c r="E55" s="6"/>
      <c r="F55" s="6"/>
      <c r="G55" s="6"/>
      <c r="H55" s="6"/>
      <c r="I55" s="6"/>
      <c r="J55" s="6"/>
    </row>
    <row r="56" spans="2:10">
      <c r="B56" s="3"/>
      <c r="C56" s="6" t="s">
        <v>68</v>
      </c>
      <c r="D56" s="6"/>
      <c r="E56" s="6"/>
      <c r="F56" s="6"/>
      <c r="G56" s="6"/>
      <c r="H56" s="6"/>
      <c r="I56" s="6"/>
      <c r="J56" s="6"/>
    </row>
    <row r="57" spans="2:10">
      <c r="B57" s="3"/>
      <c r="C57" s="6" t="s">
        <v>69</v>
      </c>
      <c r="D57" s="6" t="s">
        <v>155</v>
      </c>
      <c r="E57" s="6"/>
      <c r="F57" s="6"/>
      <c r="G57" s="6"/>
      <c r="H57" s="6"/>
      <c r="I57" s="6"/>
      <c r="J57" s="6"/>
    </row>
    <row r="58" spans="2:10">
      <c r="B58" s="3"/>
      <c r="C58" s="6" t="s">
        <v>71</v>
      </c>
      <c r="D58" s="6"/>
      <c r="E58" s="6"/>
      <c r="F58" s="6"/>
      <c r="G58" s="6"/>
      <c r="H58" s="6"/>
      <c r="I58" s="6"/>
      <c r="J58" s="6"/>
    </row>
    <row r="59" spans="2:10">
      <c r="B59" s="3"/>
      <c r="C59" s="6" t="s">
        <v>72</v>
      </c>
      <c r="D59" s="6"/>
      <c r="E59" s="6"/>
      <c r="F59" s="6"/>
      <c r="G59" s="6"/>
      <c r="H59" s="6"/>
      <c r="I59" s="6"/>
      <c r="J59" s="6"/>
    </row>
    <row r="62" spans="2:10" ht="15.75" customHeight="1">
      <c r="B62" s="9" t="s">
        <v>86</v>
      </c>
    </row>
    <row r="63" spans="2:10" hidden="1">
      <c r="B63" s="4" t="s">
        <v>87</v>
      </c>
      <c r="C63" s="6" t="s">
        <v>52</v>
      </c>
      <c r="D63" s="6"/>
      <c r="E63" s="6"/>
      <c r="F63" s="6"/>
      <c r="G63" s="6"/>
      <c r="H63" s="6"/>
      <c r="I63" s="6"/>
      <c r="J63" s="6"/>
    </row>
    <row r="64" spans="2:10" hidden="1">
      <c r="B64" s="4"/>
      <c r="C64" s="6" t="s">
        <v>63</v>
      </c>
      <c r="D64" s="6"/>
      <c r="E64" s="6"/>
      <c r="F64" s="6"/>
      <c r="G64" s="6"/>
      <c r="H64" s="6"/>
      <c r="I64" s="6"/>
      <c r="J64" s="6"/>
    </row>
    <row r="65" spans="2:10" hidden="1">
      <c r="B65" s="4"/>
      <c r="C65" s="6" t="s">
        <v>65</v>
      </c>
      <c r="D65" s="6"/>
      <c r="E65" s="6"/>
      <c r="F65" s="6"/>
      <c r="G65" s="6"/>
      <c r="H65" s="6"/>
      <c r="I65" s="6"/>
      <c r="J65" s="6"/>
    </row>
    <row r="66" spans="2:10" hidden="1">
      <c r="B66" s="4"/>
      <c r="C66" s="6" t="s">
        <v>67</v>
      </c>
      <c r="D66" s="6"/>
      <c r="E66" s="6"/>
      <c r="F66" s="6"/>
      <c r="G66" s="6"/>
      <c r="H66" s="6"/>
      <c r="I66" s="6"/>
      <c r="J66" s="6"/>
    </row>
    <row r="67" spans="2:10" hidden="1">
      <c r="B67" s="4"/>
      <c r="C67" s="6" t="s">
        <v>68</v>
      </c>
      <c r="D67" s="6"/>
      <c r="E67" s="6"/>
      <c r="F67" s="6"/>
      <c r="G67" s="6"/>
      <c r="H67" s="6"/>
      <c r="I67" s="6"/>
      <c r="J67" s="6"/>
    </row>
    <row r="68" spans="2:10" hidden="1">
      <c r="B68" s="4"/>
      <c r="C68" s="6" t="s">
        <v>69</v>
      </c>
      <c r="D68" s="6"/>
      <c r="E68" s="6"/>
      <c r="F68" s="6"/>
      <c r="G68" s="6"/>
      <c r="H68" s="6"/>
      <c r="I68" s="6"/>
      <c r="J68" s="6"/>
    </row>
    <row r="69" spans="2:10" hidden="1">
      <c r="B69" s="4"/>
      <c r="C69" s="6" t="s">
        <v>71</v>
      </c>
      <c r="D69" s="6"/>
      <c r="E69" s="6"/>
      <c r="F69" s="6"/>
      <c r="G69" s="6"/>
      <c r="H69" s="6"/>
      <c r="I69" s="6"/>
      <c r="J69" s="6"/>
    </row>
    <row r="70" spans="2:10" hidden="1">
      <c r="B70" s="4"/>
      <c r="C70" s="6" t="s">
        <v>72</v>
      </c>
      <c r="D70" s="6"/>
      <c r="E70" s="6"/>
      <c r="F70" s="6"/>
      <c r="G70" s="6"/>
      <c r="H70" s="6"/>
      <c r="I70" s="6"/>
      <c r="J70" s="6"/>
    </row>
    <row r="71" spans="2:10" hidden="1"/>
    <row r="72" spans="2:10" hidden="1"/>
    <row r="73" spans="2:10">
      <c r="B73" s="10" t="s">
        <v>88</v>
      </c>
      <c r="C73" t="s">
        <v>60</v>
      </c>
    </row>
    <row r="74" spans="2:10">
      <c r="B74" s="5" t="s">
        <v>89</v>
      </c>
      <c r="C74" s="6" t="s">
        <v>52</v>
      </c>
      <c r="D74" s="6"/>
      <c r="E74" s="6"/>
      <c r="F74" s="6"/>
      <c r="G74" s="6"/>
      <c r="H74" s="6"/>
      <c r="I74" s="6"/>
      <c r="J74" s="6"/>
    </row>
    <row r="75" spans="2:10">
      <c r="B75" s="5"/>
      <c r="C75" s="6" t="s">
        <v>63</v>
      </c>
      <c r="D75" s="6" t="s">
        <v>156</v>
      </c>
      <c r="E75" s="6" t="s">
        <v>157</v>
      </c>
      <c r="F75" s="6"/>
      <c r="G75" s="6"/>
      <c r="H75" s="6"/>
      <c r="I75" s="6"/>
      <c r="J75" s="6"/>
    </row>
    <row r="76" spans="2:10">
      <c r="B76" s="5"/>
      <c r="C76" s="6" t="s">
        <v>65</v>
      </c>
      <c r="D76" s="6" t="s">
        <v>158</v>
      </c>
      <c r="E76" s="6"/>
      <c r="F76" s="6"/>
      <c r="G76" s="6"/>
      <c r="H76" s="6"/>
      <c r="I76" s="6"/>
      <c r="J76" s="6"/>
    </row>
    <row r="77" spans="2:10">
      <c r="B77" s="5"/>
      <c r="C77" s="6" t="s">
        <v>67</v>
      </c>
      <c r="D77" s="6">
        <v>1</v>
      </c>
      <c r="E77" s="6"/>
      <c r="F77" s="6"/>
      <c r="G77" s="6"/>
      <c r="H77" s="6"/>
      <c r="I77" s="6"/>
      <c r="J77" s="6"/>
    </row>
    <row r="78" spans="2:10">
      <c r="B78" s="5"/>
      <c r="C78" s="6" t="s">
        <v>68</v>
      </c>
      <c r="D78" s="6">
        <v>0</v>
      </c>
      <c r="E78" s="6"/>
      <c r="F78" s="6"/>
      <c r="G78" s="6"/>
      <c r="H78" s="6"/>
      <c r="I78" s="6"/>
      <c r="J78" s="6"/>
    </row>
    <row r="79" spans="2:10">
      <c r="B79" s="5"/>
      <c r="C79" s="6" t="s">
        <v>69</v>
      </c>
      <c r="D79" s="6" t="s">
        <v>159</v>
      </c>
      <c r="E79" s="6"/>
      <c r="F79" s="6"/>
      <c r="G79" s="6"/>
      <c r="H79" s="6"/>
      <c r="I79" s="6"/>
      <c r="J79" s="6"/>
    </row>
    <row r="80" spans="2:10">
      <c r="B80" s="5"/>
      <c r="C80" s="6" t="s">
        <v>71</v>
      </c>
      <c r="D80" s="6"/>
      <c r="E80" s="6"/>
      <c r="F80" s="6"/>
      <c r="G80" s="6"/>
      <c r="H80" s="6"/>
      <c r="I80" s="6"/>
      <c r="J80" s="6"/>
    </row>
    <row r="81" spans="2:10">
      <c r="B81" s="5"/>
      <c r="C81" s="6" t="s">
        <v>72</v>
      </c>
      <c r="D81" s="6" t="s">
        <v>160</v>
      </c>
      <c r="E81" s="6"/>
      <c r="F81" s="6"/>
      <c r="G81" s="6"/>
      <c r="H81" s="6"/>
      <c r="I81" s="6"/>
      <c r="J81" s="6"/>
    </row>
    <row r="84" spans="2:10">
      <c r="B84" s="11" t="s">
        <v>94</v>
      </c>
      <c r="C84" t="s">
        <v>60</v>
      </c>
    </row>
    <row r="85" spans="2:10">
      <c r="B85" s="12" t="s">
        <v>95</v>
      </c>
      <c r="C85" s="6" t="s">
        <v>52</v>
      </c>
      <c r="D85" s="6"/>
      <c r="E85" s="6"/>
      <c r="F85" s="6"/>
      <c r="G85" s="6"/>
      <c r="H85" s="6"/>
      <c r="I85" s="6"/>
      <c r="J85" s="6"/>
    </row>
    <row r="86" spans="2:10">
      <c r="B86" s="12"/>
      <c r="C86" s="6" t="s">
        <v>63</v>
      </c>
      <c r="D86" s="6"/>
      <c r="E86" s="6"/>
      <c r="F86" s="6"/>
      <c r="G86" s="6"/>
      <c r="H86" s="6"/>
      <c r="I86" s="6"/>
      <c r="J86" s="6"/>
    </row>
    <row r="87" spans="2:10">
      <c r="B87" s="12"/>
      <c r="C87" s="6" t="s">
        <v>65</v>
      </c>
      <c r="D87" s="6"/>
      <c r="E87" s="6"/>
      <c r="F87" s="6"/>
      <c r="G87" s="6"/>
      <c r="H87" s="6"/>
      <c r="I87" s="6"/>
      <c r="J87" s="6"/>
    </row>
    <row r="88" spans="2:10">
      <c r="B88" s="12"/>
      <c r="C88" s="6" t="s">
        <v>67</v>
      </c>
      <c r="D88" s="6"/>
      <c r="E88" s="6"/>
      <c r="F88" s="6"/>
      <c r="G88" s="6"/>
      <c r="H88" s="6"/>
      <c r="I88" s="6"/>
      <c r="J88" s="6"/>
    </row>
    <row r="89" spans="2:10">
      <c r="B89" s="12"/>
      <c r="C89" s="6" t="s">
        <v>68</v>
      </c>
      <c r="D89" s="6"/>
      <c r="E89" s="6"/>
      <c r="F89" s="6"/>
      <c r="G89" s="6"/>
      <c r="H89" s="6"/>
      <c r="I89" s="6"/>
      <c r="J89" s="6"/>
    </row>
    <row r="90" spans="2:10">
      <c r="B90" s="12"/>
      <c r="C90" s="6" t="s">
        <v>69</v>
      </c>
      <c r="D90" s="6"/>
      <c r="E90" s="6"/>
      <c r="F90" s="6"/>
      <c r="G90" s="6"/>
      <c r="H90" s="6"/>
      <c r="I90" s="6"/>
      <c r="J90" s="6"/>
    </row>
    <row r="91" spans="2:10">
      <c r="B91" s="12"/>
      <c r="C91" s="6" t="s">
        <v>71</v>
      </c>
      <c r="D91" s="6"/>
      <c r="E91" s="6"/>
      <c r="F91" s="6"/>
      <c r="G91" s="6"/>
      <c r="H91" s="6"/>
      <c r="I91" s="6"/>
      <c r="J91" s="6"/>
    </row>
    <row r="92" spans="2:10">
      <c r="B92" s="12"/>
      <c r="C92" s="6" t="s">
        <v>72</v>
      </c>
      <c r="D92" s="6"/>
      <c r="E92" s="6"/>
      <c r="F92" s="6"/>
      <c r="G92" s="6"/>
      <c r="H92" s="6"/>
      <c r="I92" s="6"/>
      <c r="J92" s="6"/>
    </row>
    <row r="93" spans="2:10" ht="91.5">
      <c r="B93" s="13" t="s">
        <v>103</v>
      </c>
    </row>
    <row r="95" spans="2:10" hidden="1"/>
    <row r="96" spans="2:10" hidden="1"/>
    <row r="97" spans="2:7">
      <c r="B97" s="12" t="s">
        <v>104</v>
      </c>
    </row>
    <row r="98" spans="2:7" hidden="1"/>
    <row r="99" spans="2:7" hidden="1"/>
    <row r="100" spans="2:7" hidden="1">
      <c r="B100" s="32" t="s">
        <v>105</v>
      </c>
      <c r="C100" s="70"/>
      <c r="D100" s="70"/>
      <c r="E100" s="70"/>
      <c r="F100" s="70"/>
      <c r="G100" s="70"/>
    </row>
    <row r="101" spans="2:7" hidden="1">
      <c r="C101" s="70"/>
      <c r="D101" s="70"/>
      <c r="E101" s="70"/>
      <c r="F101" s="70"/>
      <c r="G101" s="70"/>
    </row>
    <row r="102" spans="2:7" hidden="1">
      <c r="C102" s="70"/>
      <c r="D102" s="70"/>
      <c r="E102" s="70"/>
      <c r="F102" s="70"/>
      <c r="G102" s="70"/>
    </row>
    <row r="103" spans="2:7" hidden="1"/>
  </sheetData>
  <mergeCells count="2">
    <mergeCell ref="D2:F2"/>
    <mergeCell ref="C100:G102"/>
  </mergeCells>
  <conditionalFormatting sqref="C3:C4 C6:C12">
    <cfRule type="containsBlanks" dxfId="34" priority="6">
      <formula>LEN(TRIM(C3))=0</formula>
    </cfRule>
  </conditionalFormatting>
  <conditionalFormatting sqref="C20:C22">
    <cfRule type="containsBlanks" dxfId="33" priority="5">
      <formula>LEN(TRIM(C20))=0</formula>
    </cfRule>
  </conditionalFormatting>
  <conditionalFormatting sqref="C27">
    <cfRule type="containsBlanks" dxfId="32" priority="4">
      <formula>LEN(TRIM(C27))=0</formula>
    </cfRule>
  </conditionalFormatting>
  <conditionalFormatting sqref="D1">
    <cfRule type="containsBlanks" dxfId="31" priority="3">
      <formula>LEN(TRIM(D1))=0</formula>
    </cfRule>
  </conditionalFormatting>
  <conditionalFormatting sqref="D2:F2">
    <cfRule type="containsBlanks" dxfId="30" priority="2">
      <formula>LEN(TRIM(D2))=0</formula>
    </cfRule>
  </conditionalFormatting>
  <conditionalFormatting sqref="C5">
    <cfRule type="containsBlanks" dxfId="29" priority="1">
      <formula>LEN(TRIM(C5))=0</formula>
    </cfRule>
  </conditionalFormatting>
  <dataValidations count="2">
    <dataValidation type="list" allowBlank="1" showInputMessage="1" showErrorMessage="1" sqref="C97 C25:C26 C30 C19 C40 C84 C51 C73 C62" xr:uid="{5983B476-C15B-4EA1-85AE-A2A47DD203C9}">
      <formula1>"Ja,Nein"</formula1>
    </dataValidation>
    <dataValidation type="list" allowBlank="1" showInputMessage="1" showErrorMessage="1" sqref="C5" xr:uid="{A74DFCB7-70B3-4FF1-89EA-D498A5CFD6CC}">
      <formula1>"Make,Buy"</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111E177B-0E1F-4CEB-9E31-002B0F73FD6D}">
          <x14:formula1>
            <xm:f>'Mateial list'!$C$4:$C$56</xm:f>
          </x14:formula1>
          <xm:sqref>D42:XFD42</xm:sqref>
        </x14:dataValidation>
        <x14:dataValidation type="list" allowBlank="1" showInputMessage="1" showErrorMessage="1" xr:uid="{C7BE7958-2090-4C4E-944C-7DB13E128B1D}">
          <x14:formula1>
            <xm:f>'Process list'!$C$4:$C$78</xm:f>
          </x14:formula1>
          <xm:sqref>D53:XFD53</xm:sqref>
        </x14:dataValidation>
        <x14:dataValidation type="list" allowBlank="1" showInputMessage="1" showErrorMessage="1" xr:uid="{2E84E11A-1C92-4FE6-B255-0C635EC3D5D7}">
          <x14:formula1>
            <xm:f>'Tooling list'!$C$3:$C$11</xm:f>
          </x14:formula1>
          <xm:sqref>D64:XFD64</xm:sqref>
        </x14:dataValidation>
        <x14:dataValidation type="list" allowBlank="1" showInputMessage="1" showErrorMessage="1" xr:uid="{D6A64F52-42F6-4549-9B5A-E99918E9F0B7}">
          <x14:formula1>
            <xm:f>'Fastener list'!$C$3:$C$16</xm:f>
          </x14:formula1>
          <xm:sqref>D86:XFD86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DD45A-27AD-4FBD-AA2D-06D4D7D1D755}">
  <sheetPr codeName="Sheet8">
    <tabColor rgb="FFFFC000"/>
  </sheetPr>
  <dimension ref="A1:J103"/>
  <sheetViews>
    <sheetView zoomScale="55" zoomScaleNormal="55" workbookViewId="0">
      <selection activeCell="C118" sqref="C118"/>
    </sheetView>
  </sheetViews>
  <sheetFormatPr defaultRowHeight="15"/>
  <cols>
    <col min="1" max="1" width="10.28515625" customWidth="1"/>
    <col min="2" max="2" width="43" customWidth="1"/>
    <col min="3" max="3" width="32.140625" customWidth="1"/>
    <col min="4" max="4" width="31.85546875" bestFit="1" customWidth="1"/>
    <col min="5" max="5" width="26.85546875" bestFit="1" customWidth="1"/>
    <col min="6" max="6" width="32.140625" customWidth="1"/>
    <col min="7" max="7" width="24" customWidth="1"/>
    <col min="8" max="10" width="16" customWidth="1"/>
  </cols>
  <sheetData>
    <row r="1" spans="1:8" ht="21">
      <c r="A1" s="22" t="s">
        <v>33</v>
      </c>
      <c r="B1" s="23" t="s">
        <v>34</v>
      </c>
      <c r="C1" s="24" t="s">
        <v>35</v>
      </c>
      <c r="D1" s="25"/>
      <c r="E1" s="26"/>
      <c r="F1" s="26"/>
      <c r="G1" s="26"/>
      <c r="H1" s="26"/>
    </row>
    <row r="2" spans="1:8" ht="26.25">
      <c r="A2" s="26"/>
      <c r="B2" s="27" t="s">
        <v>37</v>
      </c>
      <c r="C2" s="31" t="s">
        <v>38</v>
      </c>
      <c r="D2" s="67"/>
      <c r="E2" s="68"/>
      <c r="F2" s="69"/>
      <c r="G2" s="30"/>
      <c r="H2" s="30"/>
    </row>
    <row r="3" spans="1:8" ht="18.75">
      <c r="B3" s="29" t="s">
        <v>2</v>
      </c>
      <c r="C3" s="28"/>
    </row>
    <row r="4" spans="1:8" ht="18" customHeight="1">
      <c r="B4" s="29" t="s">
        <v>3</v>
      </c>
      <c r="C4" s="28"/>
    </row>
    <row r="5" spans="1:8" ht="18" customHeight="1">
      <c r="B5" s="29" t="s">
        <v>4</v>
      </c>
      <c r="C5" s="28" t="s">
        <v>16</v>
      </c>
      <c r="F5" s="39" t="s">
        <v>41</v>
      </c>
    </row>
    <row r="6" spans="1:8" ht="18" customHeight="1">
      <c r="B6" s="29" t="s">
        <v>5</v>
      </c>
      <c r="C6" s="28"/>
      <c r="F6" s="42" t="s">
        <v>42</v>
      </c>
    </row>
    <row r="7" spans="1:8" ht="18" customHeight="1">
      <c r="B7" s="29" t="s">
        <v>43</v>
      </c>
      <c r="C7" s="28"/>
      <c r="D7" s="33"/>
    </row>
    <row r="8" spans="1:8" ht="18" customHeight="1">
      <c r="B8" s="29" t="s">
        <v>44</v>
      </c>
      <c r="C8" s="28"/>
      <c r="D8" s="33"/>
    </row>
    <row r="9" spans="1:8" ht="16.899999999999999" customHeight="1">
      <c r="B9" s="43" t="s">
        <v>45</v>
      </c>
      <c r="C9" s="28" t="s">
        <v>17</v>
      </c>
      <c r="D9" s="33"/>
    </row>
    <row r="10" spans="1:8" ht="19.899999999999999" customHeight="1">
      <c r="B10" s="29" t="s">
        <v>9</v>
      </c>
      <c r="C10" s="28"/>
      <c r="E10" s="34"/>
    </row>
    <row r="11" spans="1:8" ht="18.75">
      <c r="B11" s="29" t="s">
        <v>46</v>
      </c>
      <c r="C11" s="28"/>
      <c r="E11" s="34"/>
      <c r="F11" s="35"/>
    </row>
    <row r="12" spans="1:8" ht="18.75">
      <c r="B12" s="29" t="s">
        <v>47</v>
      </c>
      <c r="C12" s="28"/>
      <c r="E12" s="34"/>
      <c r="F12" s="34"/>
    </row>
    <row r="13" spans="1:8">
      <c r="F13" s="34"/>
    </row>
    <row r="14" spans="1:8" hidden="1"/>
    <row r="15" spans="1:8" hidden="1"/>
    <row r="16" spans="1:8" hidden="1"/>
    <row r="17" spans="2:5" hidden="1"/>
    <row r="18" spans="2:5" hidden="1"/>
    <row r="19" spans="2:5" ht="15" customHeight="1">
      <c r="B19" s="19" t="s">
        <v>48</v>
      </c>
      <c r="C19" s="20"/>
    </row>
    <row r="20" spans="2:5" hidden="1">
      <c r="B20" s="20" t="s">
        <v>50</v>
      </c>
      <c r="C20" s="6"/>
    </row>
    <row r="21" spans="2:5" hidden="1">
      <c r="B21" s="20" t="s">
        <v>51</v>
      </c>
      <c r="C21" s="6"/>
    </row>
    <row r="22" spans="2:5" hidden="1">
      <c r="B22" s="20" t="s">
        <v>52</v>
      </c>
      <c r="C22" s="6"/>
    </row>
    <row r="23" spans="2:5" hidden="1"/>
    <row r="24" spans="2:5" hidden="1"/>
    <row r="25" spans="2:5" hidden="1">
      <c r="B25" s="18" t="s">
        <v>53</v>
      </c>
      <c r="C25" s="14"/>
    </row>
    <row r="26" spans="2:5" ht="60.75" hidden="1">
      <c r="B26" s="17" t="s">
        <v>54</v>
      </c>
    </row>
    <row r="27" spans="2:5" hidden="1">
      <c r="B27" s="6" t="s">
        <v>55</v>
      </c>
      <c r="C27" s="45"/>
      <c r="E27" s="1"/>
    </row>
    <row r="28" spans="2:5" hidden="1">
      <c r="E28" s="1"/>
    </row>
    <row r="29" spans="2:5" hidden="1">
      <c r="E29" s="1"/>
    </row>
    <row r="30" spans="2:5" hidden="1">
      <c r="B30" s="18" t="s">
        <v>56</v>
      </c>
      <c r="C30" s="15"/>
      <c r="D30" s="1"/>
    </row>
    <row r="31" spans="2:5" ht="137.25" hidden="1">
      <c r="B31" s="16" t="s">
        <v>57</v>
      </c>
    </row>
    <row r="32" spans="2:5" hidden="1"/>
    <row r="33" spans="2:10" hidden="1"/>
    <row r="34" spans="2:10" hidden="1"/>
    <row r="35" spans="2:10" hidden="1"/>
    <row r="36" spans="2:10" hidden="1"/>
    <row r="37" spans="2:10" hidden="1"/>
    <row r="38" spans="2:10" hidden="1"/>
    <row r="39" spans="2:10" hidden="1">
      <c r="B39" s="21" t="s">
        <v>58</v>
      </c>
    </row>
    <row r="40" spans="2:10" hidden="1">
      <c r="B40" s="7" t="s">
        <v>59</v>
      </c>
    </row>
    <row r="41" spans="2:10" ht="19.149999999999999" hidden="1" customHeight="1">
      <c r="B41" s="2" t="s">
        <v>61</v>
      </c>
      <c r="C41" s="6" t="s">
        <v>52</v>
      </c>
      <c r="D41" s="6"/>
      <c r="E41" s="6"/>
      <c r="F41" s="6"/>
      <c r="G41" s="6"/>
      <c r="H41" s="6"/>
      <c r="I41" s="6"/>
      <c r="J41" s="40"/>
    </row>
    <row r="42" spans="2:10" ht="16.899999999999999" hidden="1" customHeight="1">
      <c r="B42" s="2"/>
      <c r="C42" s="6" t="s">
        <v>63</v>
      </c>
      <c r="D42" s="6"/>
      <c r="E42" s="6"/>
      <c r="F42" s="6"/>
      <c r="G42" s="6"/>
      <c r="H42" s="6"/>
      <c r="I42" s="38"/>
      <c r="J42" s="39"/>
    </row>
    <row r="43" spans="2:10" ht="14.45" hidden="1" customHeight="1">
      <c r="B43" s="2"/>
      <c r="C43" s="6" t="s">
        <v>65</v>
      </c>
      <c r="D43" s="6"/>
      <c r="E43" s="6"/>
      <c r="F43" s="6"/>
      <c r="G43" s="6"/>
      <c r="H43" s="6"/>
      <c r="I43" s="6"/>
      <c r="J43" s="41"/>
    </row>
    <row r="44" spans="2:10" hidden="1">
      <c r="B44" s="2"/>
      <c r="C44" s="6" t="s">
        <v>67</v>
      </c>
      <c r="D44" s="6"/>
      <c r="E44" s="6"/>
      <c r="F44" s="6"/>
      <c r="G44" s="6"/>
      <c r="H44" s="6"/>
      <c r="I44" s="6"/>
      <c r="J44" s="6"/>
    </row>
    <row r="45" spans="2:10" hidden="1">
      <c r="B45" s="2"/>
      <c r="C45" s="6" t="s">
        <v>68</v>
      </c>
      <c r="D45" s="6"/>
      <c r="E45" s="6"/>
      <c r="F45" s="6"/>
      <c r="G45" s="6"/>
      <c r="H45" s="6"/>
      <c r="I45" s="6"/>
      <c r="J45" s="6"/>
    </row>
    <row r="46" spans="2:10" hidden="1">
      <c r="B46" s="2"/>
      <c r="C46" s="6" t="s">
        <v>69</v>
      </c>
      <c r="D46" s="6"/>
      <c r="E46" s="6"/>
      <c r="F46" s="6"/>
      <c r="G46" s="6"/>
      <c r="H46" s="6"/>
      <c r="I46" s="6"/>
      <c r="J46" s="6"/>
    </row>
    <row r="47" spans="2:10" hidden="1">
      <c r="B47" s="2"/>
      <c r="C47" s="6" t="s">
        <v>71</v>
      </c>
      <c r="D47" s="6"/>
      <c r="E47" s="6"/>
      <c r="F47" s="6"/>
      <c r="G47" s="6"/>
      <c r="H47" s="6"/>
      <c r="I47" s="6"/>
      <c r="J47" s="6"/>
    </row>
    <row r="48" spans="2:10" hidden="1">
      <c r="B48" s="2"/>
      <c r="C48" s="6" t="s">
        <v>72</v>
      </c>
      <c r="D48" s="6"/>
      <c r="E48" s="6"/>
      <c r="F48" s="6"/>
      <c r="G48" s="6"/>
      <c r="H48" s="6"/>
      <c r="I48" s="6"/>
      <c r="J48" s="6"/>
    </row>
    <row r="49" spans="2:10" hidden="1"/>
    <row r="50" spans="2:10" hidden="1"/>
    <row r="51" spans="2:10" hidden="1">
      <c r="B51" s="8" t="s">
        <v>73</v>
      </c>
    </row>
    <row r="52" spans="2:10" ht="15" hidden="1" customHeight="1">
      <c r="B52" s="3" t="s">
        <v>74</v>
      </c>
      <c r="C52" s="6" t="s">
        <v>52</v>
      </c>
      <c r="D52" s="6"/>
      <c r="E52" s="6"/>
      <c r="F52" s="6"/>
      <c r="G52" s="6"/>
      <c r="H52" s="6"/>
      <c r="I52" s="6"/>
      <c r="J52" s="6"/>
    </row>
    <row r="53" spans="2:10" hidden="1">
      <c r="B53" s="3"/>
      <c r="C53" s="6" t="s">
        <v>63</v>
      </c>
      <c r="D53" s="6"/>
      <c r="E53" s="6"/>
      <c r="F53" s="6"/>
      <c r="G53" s="6"/>
      <c r="H53" s="6"/>
      <c r="I53" s="6"/>
      <c r="J53" s="6"/>
    </row>
    <row r="54" spans="2:10" hidden="1">
      <c r="B54" s="3"/>
      <c r="C54" s="6" t="s">
        <v>65</v>
      </c>
      <c r="D54" s="6"/>
      <c r="E54" s="6"/>
      <c r="F54" s="6"/>
      <c r="G54" s="6"/>
      <c r="H54" s="6"/>
      <c r="I54" s="6"/>
      <c r="J54" s="6"/>
    </row>
    <row r="55" spans="2:10" hidden="1">
      <c r="B55" s="3"/>
      <c r="C55" s="6" t="s">
        <v>67</v>
      </c>
      <c r="D55" s="6"/>
      <c r="E55" s="6"/>
      <c r="F55" s="6"/>
      <c r="G55" s="6"/>
      <c r="H55" s="6"/>
      <c r="I55" s="6"/>
      <c r="J55" s="6"/>
    </row>
    <row r="56" spans="2:10" hidden="1">
      <c r="B56" s="3"/>
      <c r="C56" s="6" t="s">
        <v>68</v>
      </c>
      <c r="D56" s="6"/>
      <c r="E56" s="6"/>
      <c r="F56" s="6"/>
      <c r="G56" s="6"/>
      <c r="H56" s="6"/>
      <c r="I56" s="6"/>
      <c r="J56" s="6"/>
    </row>
    <row r="57" spans="2:10" hidden="1">
      <c r="B57" s="3"/>
      <c r="C57" s="6" t="s">
        <v>69</v>
      </c>
      <c r="D57" s="6"/>
      <c r="E57" s="6"/>
      <c r="F57" s="6"/>
      <c r="G57" s="6"/>
      <c r="H57" s="6"/>
      <c r="I57" s="6"/>
      <c r="J57" s="6"/>
    </row>
    <row r="58" spans="2:10" hidden="1">
      <c r="B58" s="3"/>
      <c r="C58" s="6" t="s">
        <v>71</v>
      </c>
      <c r="D58" s="6"/>
      <c r="E58" s="6"/>
      <c r="F58" s="6"/>
      <c r="G58" s="6"/>
      <c r="H58" s="6"/>
      <c r="I58" s="6"/>
      <c r="J58" s="6"/>
    </row>
    <row r="59" spans="2:10" hidden="1">
      <c r="B59" s="3"/>
      <c r="C59" s="6" t="s">
        <v>72</v>
      </c>
      <c r="D59" s="6"/>
      <c r="E59" s="6"/>
      <c r="F59" s="6"/>
      <c r="G59" s="6"/>
      <c r="H59" s="6"/>
      <c r="I59" s="6"/>
      <c r="J59" s="6"/>
    </row>
    <row r="60" spans="2:10" hidden="1"/>
    <row r="61" spans="2:10" hidden="1"/>
    <row r="62" spans="2:10" ht="15.75" hidden="1" customHeight="1">
      <c r="B62" s="9" t="s">
        <v>86</v>
      </c>
    </row>
    <row r="63" spans="2:10" hidden="1">
      <c r="B63" s="4" t="s">
        <v>87</v>
      </c>
      <c r="C63" s="6" t="s">
        <v>52</v>
      </c>
      <c r="D63" s="6"/>
      <c r="E63" s="6"/>
      <c r="F63" s="6"/>
      <c r="G63" s="6"/>
      <c r="H63" s="6"/>
      <c r="I63" s="6"/>
      <c r="J63" s="6"/>
    </row>
    <row r="64" spans="2:10" hidden="1">
      <c r="B64" s="4"/>
      <c r="C64" s="6" t="s">
        <v>63</v>
      </c>
      <c r="D64" s="6"/>
      <c r="E64" s="6"/>
      <c r="F64" s="6"/>
      <c r="G64" s="6"/>
      <c r="H64" s="6"/>
      <c r="I64" s="6"/>
      <c r="J64" s="6"/>
    </row>
    <row r="65" spans="2:10" hidden="1">
      <c r="B65" s="4"/>
      <c r="C65" s="6" t="s">
        <v>65</v>
      </c>
      <c r="D65" s="6"/>
      <c r="E65" s="6"/>
      <c r="F65" s="6"/>
      <c r="G65" s="6"/>
      <c r="H65" s="6"/>
      <c r="I65" s="6"/>
      <c r="J65" s="6"/>
    </row>
    <row r="66" spans="2:10" hidden="1">
      <c r="B66" s="4"/>
      <c r="C66" s="6" t="s">
        <v>67</v>
      </c>
      <c r="D66" s="6"/>
      <c r="E66" s="6"/>
      <c r="F66" s="6"/>
      <c r="G66" s="6"/>
      <c r="H66" s="6"/>
      <c r="I66" s="6"/>
      <c r="J66" s="6"/>
    </row>
    <row r="67" spans="2:10" hidden="1">
      <c r="B67" s="4"/>
      <c r="C67" s="6" t="s">
        <v>68</v>
      </c>
      <c r="D67" s="6"/>
      <c r="E67" s="6"/>
      <c r="F67" s="6"/>
      <c r="G67" s="6"/>
      <c r="H67" s="6"/>
      <c r="I67" s="6"/>
      <c r="J67" s="6"/>
    </row>
    <row r="68" spans="2:10" hidden="1">
      <c r="B68" s="4"/>
      <c r="C68" s="6" t="s">
        <v>69</v>
      </c>
      <c r="D68" s="6"/>
      <c r="E68" s="6"/>
      <c r="F68" s="6"/>
      <c r="G68" s="6"/>
      <c r="H68" s="6"/>
      <c r="I68" s="6"/>
      <c r="J68" s="6"/>
    </row>
    <row r="69" spans="2:10" hidden="1">
      <c r="B69" s="4"/>
      <c r="C69" s="6" t="s">
        <v>71</v>
      </c>
      <c r="D69" s="6"/>
      <c r="E69" s="6"/>
      <c r="F69" s="6"/>
      <c r="G69" s="6"/>
      <c r="H69" s="6"/>
      <c r="I69" s="6"/>
      <c r="J69" s="6"/>
    </row>
    <row r="70" spans="2:10" hidden="1">
      <c r="B70" s="4"/>
      <c r="C70" s="6" t="s">
        <v>72</v>
      </c>
      <c r="D70" s="6"/>
      <c r="E70" s="6"/>
      <c r="F70" s="6"/>
      <c r="G70" s="6"/>
      <c r="H70" s="6"/>
      <c r="I70" s="6"/>
      <c r="J70" s="6"/>
    </row>
    <row r="71" spans="2:10" hidden="1"/>
    <row r="72" spans="2:10" hidden="1"/>
    <row r="73" spans="2:10" hidden="1">
      <c r="B73" s="10" t="s">
        <v>88</v>
      </c>
    </row>
    <row r="74" spans="2:10" hidden="1">
      <c r="B74" s="5" t="s">
        <v>89</v>
      </c>
      <c r="C74" s="6" t="s">
        <v>52</v>
      </c>
      <c r="D74" s="6"/>
      <c r="E74" s="6"/>
      <c r="F74" s="6"/>
      <c r="G74" s="6"/>
      <c r="H74" s="6"/>
      <c r="I74" s="6"/>
      <c r="J74" s="6"/>
    </row>
    <row r="75" spans="2:10" hidden="1">
      <c r="B75" s="5"/>
      <c r="C75" s="6" t="s">
        <v>63</v>
      </c>
      <c r="D75" s="6"/>
      <c r="E75" s="6"/>
      <c r="F75" s="6"/>
      <c r="G75" s="6"/>
      <c r="H75" s="6"/>
      <c r="I75" s="6"/>
      <c r="J75" s="6"/>
    </row>
    <row r="76" spans="2:10" hidden="1">
      <c r="B76" s="5"/>
      <c r="C76" s="6" t="s">
        <v>65</v>
      </c>
      <c r="D76" s="6"/>
      <c r="E76" s="6"/>
      <c r="F76" s="6"/>
      <c r="G76" s="6"/>
      <c r="H76" s="6"/>
      <c r="I76" s="6"/>
      <c r="J76" s="6"/>
    </row>
    <row r="77" spans="2:10" hidden="1">
      <c r="B77" s="5"/>
      <c r="C77" s="6" t="s">
        <v>67</v>
      </c>
      <c r="D77" s="6"/>
      <c r="E77" s="6"/>
      <c r="F77" s="6"/>
      <c r="G77" s="6"/>
      <c r="H77" s="6"/>
      <c r="I77" s="6"/>
      <c r="J77" s="6"/>
    </row>
    <row r="78" spans="2:10" hidden="1">
      <c r="B78" s="5"/>
      <c r="C78" s="6" t="s">
        <v>68</v>
      </c>
      <c r="D78" s="6"/>
      <c r="E78" s="6"/>
      <c r="F78" s="6"/>
      <c r="G78" s="6"/>
      <c r="H78" s="6"/>
      <c r="I78" s="6"/>
      <c r="J78" s="6"/>
    </row>
    <row r="79" spans="2:10" hidden="1">
      <c r="B79" s="5"/>
      <c r="C79" s="6" t="s">
        <v>69</v>
      </c>
      <c r="D79" s="6"/>
      <c r="E79" s="6"/>
      <c r="F79" s="6"/>
      <c r="G79" s="6"/>
      <c r="H79" s="6"/>
      <c r="I79" s="6"/>
      <c r="J79" s="6"/>
    </row>
    <row r="80" spans="2:10" hidden="1">
      <c r="B80" s="5"/>
      <c r="C80" s="6" t="s">
        <v>71</v>
      </c>
      <c r="D80" s="6"/>
      <c r="E80" s="6"/>
      <c r="F80" s="6"/>
      <c r="G80" s="6"/>
      <c r="H80" s="6"/>
      <c r="I80" s="6"/>
      <c r="J80" s="6"/>
    </row>
    <row r="81" spans="2:10" hidden="1">
      <c r="B81" s="5"/>
      <c r="C81" s="6" t="s">
        <v>72</v>
      </c>
      <c r="D81" s="6"/>
      <c r="E81" s="6"/>
      <c r="F81" s="6"/>
      <c r="G81" s="6"/>
      <c r="H81" s="6"/>
      <c r="I81" s="6"/>
      <c r="J81" s="6"/>
    </row>
    <row r="82" spans="2:10" hidden="1"/>
    <row r="83" spans="2:10" hidden="1"/>
    <row r="84" spans="2:10" hidden="1">
      <c r="B84" s="11" t="s">
        <v>94</v>
      </c>
    </row>
    <row r="85" spans="2:10" hidden="1">
      <c r="B85" s="12" t="s">
        <v>95</v>
      </c>
      <c r="C85" s="6" t="s">
        <v>52</v>
      </c>
      <c r="D85" s="6"/>
      <c r="E85" s="6"/>
      <c r="F85" s="6"/>
      <c r="G85" s="6"/>
      <c r="H85" s="6"/>
      <c r="I85" s="6"/>
      <c r="J85" s="6"/>
    </row>
    <row r="86" spans="2:10" hidden="1">
      <c r="B86" s="12"/>
      <c r="C86" s="6" t="s">
        <v>63</v>
      </c>
      <c r="D86" s="6"/>
      <c r="E86" s="6"/>
      <c r="F86" s="6"/>
      <c r="G86" s="6"/>
      <c r="H86" s="6"/>
      <c r="I86" s="6"/>
      <c r="J86" s="6"/>
    </row>
    <row r="87" spans="2:10" hidden="1">
      <c r="B87" s="12"/>
      <c r="C87" s="6" t="s">
        <v>65</v>
      </c>
      <c r="D87" s="6"/>
      <c r="E87" s="6"/>
      <c r="F87" s="6"/>
      <c r="G87" s="6"/>
      <c r="H87" s="6"/>
      <c r="I87" s="6"/>
      <c r="J87" s="6"/>
    </row>
    <row r="88" spans="2:10" hidden="1">
      <c r="B88" s="12"/>
      <c r="C88" s="6" t="s">
        <v>67</v>
      </c>
      <c r="D88" s="6"/>
      <c r="E88" s="6"/>
      <c r="F88" s="6"/>
      <c r="G88" s="6"/>
      <c r="H88" s="6"/>
      <c r="I88" s="6"/>
      <c r="J88" s="6"/>
    </row>
    <row r="89" spans="2:10" hidden="1">
      <c r="B89" s="12"/>
      <c r="C89" s="6" t="s">
        <v>68</v>
      </c>
      <c r="D89" s="6"/>
      <c r="E89" s="6"/>
      <c r="F89" s="6"/>
      <c r="G89" s="6"/>
      <c r="H89" s="6"/>
      <c r="I89" s="6"/>
      <c r="J89" s="6"/>
    </row>
    <row r="90" spans="2:10" hidden="1">
      <c r="B90" s="12"/>
      <c r="C90" s="6" t="s">
        <v>69</v>
      </c>
      <c r="D90" s="6"/>
      <c r="E90" s="6"/>
      <c r="F90" s="6"/>
      <c r="G90" s="6"/>
      <c r="H90" s="6"/>
      <c r="I90" s="6"/>
      <c r="J90" s="6"/>
    </row>
    <row r="91" spans="2:10" hidden="1">
      <c r="B91" s="12"/>
      <c r="C91" s="6" t="s">
        <v>71</v>
      </c>
      <c r="D91" s="6"/>
      <c r="E91" s="6"/>
      <c r="F91" s="6"/>
      <c r="G91" s="6"/>
      <c r="H91" s="6"/>
      <c r="I91" s="6"/>
      <c r="J91" s="6"/>
    </row>
    <row r="92" spans="2:10" hidden="1">
      <c r="B92" s="12"/>
      <c r="C92" s="6" t="s">
        <v>72</v>
      </c>
      <c r="D92" s="6"/>
      <c r="E92" s="6"/>
      <c r="F92" s="6"/>
      <c r="G92" s="6"/>
      <c r="H92" s="6"/>
      <c r="I92" s="6"/>
      <c r="J92" s="6"/>
    </row>
    <row r="93" spans="2:10" ht="106.5" hidden="1">
      <c r="B93" s="13" t="s">
        <v>103</v>
      </c>
    </row>
    <row r="94" spans="2:10" hidden="1"/>
    <row r="95" spans="2:10" hidden="1"/>
    <row r="96" spans="2:10" hidden="1"/>
    <row r="97" spans="2:7">
      <c r="B97" s="12" t="s">
        <v>104</v>
      </c>
    </row>
    <row r="98" spans="2:7" hidden="1"/>
    <row r="99" spans="2:7" hidden="1"/>
    <row r="100" spans="2:7" hidden="1">
      <c r="B100" s="32" t="s">
        <v>105</v>
      </c>
      <c r="C100" s="70"/>
      <c r="D100" s="70"/>
      <c r="E100" s="70"/>
      <c r="F100" s="70"/>
      <c r="G100" s="70"/>
    </row>
    <row r="101" spans="2:7" hidden="1">
      <c r="C101" s="70"/>
      <c r="D101" s="70"/>
      <c r="E101" s="70"/>
      <c r="F101" s="70"/>
      <c r="G101" s="70"/>
    </row>
    <row r="102" spans="2:7" hidden="1">
      <c r="C102" s="70"/>
      <c r="D102" s="70"/>
      <c r="E102" s="70"/>
      <c r="F102" s="70"/>
      <c r="G102" s="70"/>
    </row>
    <row r="103" spans="2:7" hidden="1"/>
  </sheetData>
  <mergeCells count="2">
    <mergeCell ref="D2:F2"/>
    <mergeCell ref="C100:G102"/>
  </mergeCells>
  <conditionalFormatting sqref="C3:C4 C6:C12">
    <cfRule type="containsBlanks" dxfId="28" priority="8">
      <formula>LEN(TRIM(C3))=0</formula>
    </cfRule>
  </conditionalFormatting>
  <conditionalFormatting sqref="C20:C22">
    <cfRule type="containsBlanks" dxfId="27" priority="7">
      <formula>LEN(TRIM(C20))=0</formula>
    </cfRule>
  </conditionalFormatting>
  <conditionalFormatting sqref="C27">
    <cfRule type="containsBlanks" dxfId="26" priority="6">
      <formula>LEN(TRIM(C27))=0</formula>
    </cfRule>
  </conditionalFormatting>
  <conditionalFormatting sqref="D1">
    <cfRule type="containsBlanks" dxfId="25" priority="4">
      <formula>LEN(TRIM(D1))=0</formula>
    </cfRule>
  </conditionalFormatting>
  <conditionalFormatting sqref="D2:F2">
    <cfRule type="containsBlanks" dxfId="24" priority="3">
      <formula>LEN(TRIM(D2))=0</formula>
    </cfRule>
  </conditionalFormatting>
  <conditionalFormatting sqref="A1:XBF4 A6:XBF1048576 A5:B5 D5:XBF5">
    <cfRule type="beginsWith" dxfId="23" priority="2" operator="beginsWith" text="??">
      <formula>LEFT(A1,LEN("??"))="??"</formula>
    </cfRule>
  </conditionalFormatting>
  <conditionalFormatting sqref="C5">
    <cfRule type="containsBlanks" dxfId="22" priority="1">
      <formula>LEN(TRIM(C5))=0</formula>
    </cfRule>
  </conditionalFormatting>
  <dataValidations count="2">
    <dataValidation type="list" allowBlank="1" showInputMessage="1" showErrorMessage="1" sqref="C97 C25:C26 C30 C19 C40 C84 C51 C73 C62" xr:uid="{9C031963-6D43-4027-B5E1-7796D4E7DF8B}">
      <formula1>"Ja,Nein"</formula1>
    </dataValidation>
    <dataValidation type="list" allowBlank="1" showInputMessage="1" showErrorMessage="1" sqref="C5" xr:uid="{3F7A2CE2-6937-4F55-AB05-D311CB0D41C6}">
      <formula1>"Make,Buy"</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7BA0F3C-19BB-4FFD-9C49-F2745DD06116}">
          <x14:formula1>
            <xm:f>'Fastener list'!$C$3:$C$16</xm:f>
          </x14:formula1>
          <xm:sqref>D86:XFD86</xm:sqref>
        </x14:dataValidation>
        <x14:dataValidation type="list" allowBlank="1" showInputMessage="1" showErrorMessage="1" xr:uid="{238AA6EB-4083-4B03-8073-6B07CF529461}">
          <x14:formula1>
            <xm:f>'Tooling list'!$C$3:$C$11</xm:f>
          </x14:formula1>
          <xm:sqref>D64:XFD64</xm:sqref>
        </x14:dataValidation>
        <x14:dataValidation type="list" allowBlank="1" showInputMessage="1" showErrorMessage="1" xr:uid="{21B7C58B-7A90-4D90-80D3-A76785A3C61D}">
          <x14:formula1>
            <xm:f>'Process list'!$C$4:$C$78</xm:f>
          </x14:formula1>
          <xm:sqref>D53:XFD53</xm:sqref>
        </x14:dataValidation>
        <x14:dataValidation type="list" allowBlank="1" showInputMessage="1" showErrorMessage="1" xr:uid="{9ED04E3D-4722-45B5-B8E2-505D156AC1B3}">
          <x14:formula1>
            <xm:f>'Mateial list'!$C$4:$C$56</xm:f>
          </x14:formula1>
          <xm:sqref>D42:XFD42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A00DC-3753-473E-AD4B-79F528E192E4}">
  <sheetPr codeName="Sheet7">
    <tabColor rgb="FFFF3300"/>
  </sheetPr>
  <dimension ref="A1:J103"/>
  <sheetViews>
    <sheetView zoomScale="55" zoomScaleNormal="55" workbookViewId="0">
      <selection activeCell="A17" sqref="A17"/>
    </sheetView>
  </sheetViews>
  <sheetFormatPr defaultRowHeight="15"/>
  <cols>
    <col min="1" max="1" width="10.28515625" customWidth="1"/>
    <col min="2" max="2" width="37.140625" customWidth="1"/>
    <col min="3" max="3" width="23.85546875" customWidth="1"/>
    <col min="4" max="4" width="31.85546875" bestFit="1" customWidth="1"/>
    <col min="5" max="5" width="26.85546875" bestFit="1" customWidth="1"/>
    <col min="6" max="6" width="32.140625" customWidth="1"/>
    <col min="7" max="7" width="24" customWidth="1"/>
    <col min="8" max="10" width="16" customWidth="1"/>
  </cols>
  <sheetData>
    <row r="1" spans="1:8" ht="21">
      <c r="A1" s="22" t="s">
        <v>33</v>
      </c>
      <c r="B1" s="23" t="s">
        <v>34</v>
      </c>
      <c r="C1" s="24" t="s">
        <v>161</v>
      </c>
      <c r="D1" s="25"/>
      <c r="E1" s="26"/>
      <c r="F1" s="26"/>
      <c r="G1" s="26"/>
      <c r="H1" s="26"/>
    </row>
    <row r="2" spans="1:8" ht="26.25">
      <c r="A2" s="26"/>
      <c r="B2" s="27" t="s">
        <v>37</v>
      </c>
      <c r="C2" s="31" t="s">
        <v>38</v>
      </c>
      <c r="D2" s="67"/>
      <c r="E2" s="68"/>
      <c r="F2" s="69"/>
      <c r="G2" s="30"/>
      <c r="H2" s="30"/>
    </row>
    <row r="3" spans="1:8" ht="18.75">
      <c r="B3" s="29" t="s">
        <v>2</v>
      </c>
      <c r="C3" s="28"/>
    </row>
    <row r="4" spans="1:8" ht="18" customHeight="1">
      <c r="B4" s="29" t="s">
        <v>3</v>
      </c>
      <c r="C4" s="28"/>
    </row>
    <row r="5" spans="1:8" ht="18" customHeight="1">
      <c r="B5" s="29" t="s">
        <v>4</v>
      </c>
      <c r="C5" s="28"/>
      <c r="F5" s="39" t="s">
        <v>41</v>
      </c>
    </row>
    <row r="6" spans="1:8" ht="18" customHeight="1">
      <c r="B6" s="29" t="s">
        <v>5</v>
      </c>
      <c r="C6" s="28"/>
      <c r="F6" s="42" t="s">
        <v>42</v>
      </c>
    </row>
    <row r="7" spans="1:8" ht="18" customHeight="1">
      <c r="B7" s="29" t="s">
        <v>6</v>
      </c>
      <c r="C7" s="28"/>
      <c r="D7" s="33"/>
    </row>
    <row r="8" spans="1:8" ht="18" customHeight="1">
      <c r="B8" s="29" t="s">
        <v>7</v>
      </c>
      <c r="C8" s="28"/>
      <c r="D8" s="33"/>
    </row>
    <row r="9" spans="1:8" ht="16.899999999999999" customHeight="1">
      <c r="B9" s="29" t="s">
        <v>45</v>
      </c>
      <c r="C9" s="28"/>
      <c r="D9" s="33"/>
    </row>
    <row r="10" spans="1:8" ht="19.899999999999999" customHeight="1">
      <c r="B10" s="29" t="s">
        <v>9</v>
      </c>
      <c r="C10" s="28"/>
      <c r="E10" s="34"/>
    </row>
    <row r="11" spans="1:8" ht="18.75">
      <c r="B11" s="29" t="s">
        <v>10</v>
      </c>
      <c r="C11" s="28"/>
      <c r="E11" s="34"/>
      <c r="F11" s="35"/>
    </row>
    <row r="12" spans="1:8" ht="18.75">
      <c r="B12" s="29" t="s">
        <v>11</v>
      </c>
      <c r="C12" s="28"/>
      <c r="E12" s="34"/>
      <c r="F12" s="34"/>
    </row>
    <row r="13" spans="1:8">
      <c r="F13" s="34"/>
    </row>
    <row r="14" spans="1:8" hidden="1"/>
    <row r="15" spans="1:8" hidden="1"/>
    <row r="16" spans="1:8" hidden="1"/>
    <row r="17" spans="2:5" hidden="1"/>
    <row r="18" spans="2:5" hidden="1"/>
    <row r="19" spans="2:5" ht="15" customHeight="1">
      <c r="B19" s="19" t="s">
        <v>48</v>
      </c>
      <c r="C19" s="20"/>
    </row>
    <row r="20" spans="2:5" hidden="1">
      <c r="B20" s="20" t="s">
        <v>50</v>
      </c>
      <c r="C20" s="6"/>
    </row>
    <row r="21" spans="2:5" hidden="1">
      <c r="B21" s="20" t="s">
        <v>51</v>
      </c>
      <c r="C21" s="6"/>
    </row>
    <row r="22" spans="2:5" hidden="1">
      <c r="B22" s="20" t="s">
        <v>52</v>
      </c>
      <c r="C22" s="6"/>
    </row>
    <row r="23" spans="2:5" hidden="1"/>
    <row r="24" spans="2:5" hidden="1"/>
    <row r="25" spans="2:5" hidden="1">
      <c r="B25" s="18" t="s">
        <v>53</v>
      </c>
      <c r="C25" s="14"/>
    </row>
    <row r="26" spans="2:5" ht="60.75" hidden="1">
      <c r="B26" s="17" t="s">
        <v>54</v>
      </c>
    </row>
    <row r="27" spans="2:5" hidden="1">
      <c r="B27" s="6" t="s">
        <v>162</v>
      </c>
      <c r="C27" s="6"/>
      <c r="E27" s="1"/>
    </row>
    <row r="28" spans="2:5" hidden="1">
      <c r="E28" s="1"/>
    </row>
    <row r="29" spans="2:5" hidden="1">
      <c r="E29" s="1"/>
    </row>
    <row r="30" spans="2:5" hidden="1">
      <c r="B30" s="18" t="s">
        <v>56</v>
      </c>
      <c r="C30" s="15"/>
      <c r="D30" s="1"/>
    </row>
    <row r="31" spans="2:5" ht="137.25" hidden="1">
      <c r="B31" s="16" t="s">
        <v>57</v>
      </c>
    </row>
    <row r="32" spans="2:5" hidden="1"/>
    <row r="33" spans="2:10" hidden="1"/>
    <row r="34" spans="2:10" hidden="1"/>
    <row r="35" spans="2:10" hidden="1"/>
    <row r="36" spans="2:10" hidden="1"/>
    <row r="37" spans="2:10" hidden="1"/>
    <row r="38" spans="2:10" hidden="1"/>
    <row r="39" spans="2:10" hidden="1">
      <c r="B39" s="21" t="s">
        <v>58</v>
      </c>
    </row>
    <row r="40" spans="2:10" hidden="1">
      <c r="B40" s="7" t="s">
        <v>59</v>
      </c>
    </row>
    <row r="41" spans="2:10" ht="19.149999999999999" hidden="1" customHeight="1">
      <c r="B41" s="2" t="s">
        <v>61</v>
      </c>
      <c r="C41" s="6" t="s">
        <v>52</v>
      </c>
      <c r="D41" s="6"/>
      <c r="E41" s="6"/>
      <c r="F41" s="6"/>
      <c r="G41" s="6"/>
      <c r="H41" s="6"/>
      <c r="I41" s="6"/>
      <c r="J41" s="40"/>
    </row>
    <row r="42" spans="2:10" ht="16.899999999999999" hidden="1" customHeight="1">
      <c r="B42" s="2"/>
      <c r="C42" s="6" t="s">
        <v>63</v>
      </c>
      <c r="D42" s="6"/>
      <c r="E42" s="6"/>
      <c r="F42" s="6"/>
      <c r="G42" s="6"/>
      <c r="H42" s="6"/>
      <c r="I42" s="38"/>
      <c r="J42" s="39"/>
    </row>
    <row r="43" spans="2:10" ht="14.45" hidden="1" customHeight="1">
      <c r="B43" s="2"/>
      <c r="C43" s="6" t="s">
        <v>65</v>
      </c>
      <c r="D43" s="6"/>
      <c r="E43" s="6"/>
      <c r="F43" s="6"/>
      <c r="G43" s="6"/>
      <c r="H43" s="6"/>
      <c r="I43" s="6"/>
      <c r="J43" s="41"/>
    </row>
    <row r="44" spans="2:10" hidden="1">
      <c r="B44" s="2"/>
      <c r="C44" s="6" t="s">
        <v>67</v>
      </c>
      <c r="D44" s="6"/>
      <c r="E44" s="6"/>
      <c r="F44" s="6"/>
      <c r="G44" s="6"/>
      <c r="H44" s="6"/>
      <c r="I44" s="6"/>
      <c r="J44" s="6"/>
    </row>
    <row r="45" spans="2:10" hidden="1">
      <c r="B45" s="2"/>
      <c r="C45" s="6" t="s">
        <v>68</v>
      </c>
      <c r="D45" s="6"/>
      <c r="E45" s="6"/>
      <c r="F45" s="6"/>
      <c r="G45" s="6"/>
      <c r="H45" s="6"/>
      <c r="I45" s="6"/>
      <c r="J45" s="6"/>
    </row>
    <row r="46" spans="2:10" hidden="1">
      <c r="B46" s="2"/>
      <c r="C46" s="6" t="s">
        <v>69</v>
      </c>
      <c r="D46" s="6"/>
      <c r="E46" s="6"/>
      <c r="F46" s="6"/>
      <c r="G46" s="6"/>
      <c r="H46" s="6"/>
      <c r="I46" s="6"/>
      <c r="J46" s="6"/>
    </row>
    <row r="47" spans="2:10" hidden="1">
      <c r="B47" s="2"/>
      <c r="C47" s="6" t="s">
        <v>71</v>
      </c>
      <c r="D47" s="6"/>
      <c r="E47" s="6"/>
      <c r="F47" s="6"/>
      <c r="G47" s="6"/>
      <c r="H47" s="6"/>
      <c r="I47" s="6"/>
      <c r="J47" s="6"/>
    </row>
    <row r="48" spans="2:10" hidden="1">
      <c r="B48" s="2"/>
      <c r="C48" s="6" t="s">
        <v>72</v>
      </c>
      <c r="D48" s="6"/>
      <c r="E48" s="6"/>
      <c r="F48" s="6"/>
      <c r="G48" s="6"/>
      <c r="H48" s="6"/>
      <c r="I48" s="6"/>
      <c r="J48" s="6"/>
    </row>
    <row r="49" spans="2:10" hidden="1"/>
    <row r="50" spans="2:10" hidden="1"/>
    <row r="51" spans="2:10" hidden="1">
      <c r="B51" s="8" t="s">
        <v>73</v>
      </c>
    </row>
    <row r="52" spans="2:10" ht="15" hidden="1" customHeight="1">
      <c r="B52" s="3" t="s">
        <v>74</v>
      </c>
      <c r="C52" s="6" t="s">
        <v>52</v>
      </c>
      <c r="D52" s="6"/>
      <c r="E52" s="6"/>
      <c r="F52" s="6"/>
      <c r="G52" s="6"/>
      <c r="H52" s="6"/>
      <c r="I52" s="6"/>
      <c r="J52" s="6"/>
    </row>
    <row r="53" spans="2:10" hidden="1">
      <c r="B53" s="3"/>
      <c r="C53" s="6" t="s">
        <v>63</v>
      </c>
      <c r="D53" s="6"/>
      <c r="E53" s="6"/>
      <c r="F53" s="6"/>
      <c r="G53" s="6"/>
      <c r="H53" s="6"/>
      <c r="I53" s="6"/>
      <c r="J53" s="6"/>
    </row>
    <row r="54" spans="2:10" hidden="1">
      <c r="B54" s="3"/>
      <c r="C54" s="6" t="s">
        <v>65</v>
      </c>
      <c r="D54" s="6"/>
      <c r="E54" s="6"/>
      <c r="F54" s="6"/>
      <c r="G54" s="6"/>
      <c r="H54" s="6"/>
      <c r="I54" s="6"/>
      <c r="J54" s="6"/>
    </row>
    <row r="55" spans="2:10" hidden="1">
      <c r="B55" s="3"/>
      <c r="C55" s="6" t="s">
        <v>67</v>
      </c>
      <c r="D55" s="6"/>
      <c r="E55" s="6"/>
      <c r="F55" s="6"/>
      <c r="G55" s="6"/>
      <c r="H55" s="6"/>
      <c r="I55" s="6"/>
      <c r="J55" s="6"/>
    </row>
    <row r="56" spans="2:10" hidden="1">
      <c r="B56" s="3"/>
      <c r="C56" s="6" t="s">
        <v>68</v>
      </c>
      <c r="D56" s="6"/>
      <c r="E56" s="6"/>
      <c r="F56" s="6"/>
      <c r="G56" s="6"/>
      <c r="H56" s="6"/>
      <c r="I56" s="6"/>
      <c r="J56" s="6"/>
    </row>
    <row r="57" spans="2:10" hidden="1">
      <c r="B57" s="3"/>
      <c r="C57" s="6" t="s">
        <v>69</v>
      </c>
      <c r="D57" s="6"/>
      <c r="E57" s="6"/>
      <c r="F57" s="6"/>
      <c r="G57" s="6"/>
      <c r="H57" s="6"/>
      <c r="I57" s="6"/>
      <c r="J57" s="6"/>
    </row>
    <row r="58" spans="2:10" hidden="1">
      <c r="B58" s="3"/>
      <c r="C58" s="6" t="s">
        <v>71</v>
      </c>
      <c r="D58" s="6"/>
      <c r="E58" s="6"/>
      <c r="F58" s="6"/>
      <c r="G58" s="6"/>
      <c r="H58" s="6"/>
      <c r="I58" s="6"/>
      <c r="J58" s="6"/>
    </row>
    <row r="59" spans="2:10" hidden="1">
      <c r="B59" s="3"/>
      <c r="C59" s="6" t="s">
        <v>72</v>
      </c>
      <c r="D59" s="6"/>
      <c r="E59" s="6"/>
      <c r="F59" s="6"/>
      <c r="G59" s="6"/>
      <c r="H59" s="6"/>
      <c r="I59" s="6"/>
      <c r="J59" s="6"/>
    </row>
    <row r="60" spans="2:10" hidden="1"/>
    <row r="61" spans="2:10" hidden="1"/>
    <row r="62" spans="2:10" ht="15.75" hidden="1" customHeight="1">
      <c r="B62" s="9" t="s">
        <v>86</v>
      </c>
    </row>
    <row r="63" spans="2:10" hidden="1">
      <c r="B63" s="4" t="s">
        <v>87</v>
      </c>
      <c r="C63" s="6" t="s">
        <v>52</v>
      </c>
      <c r="D63" s="6"/>
      <c r="E63" s="6"/>
      <c r="F63" s="6"/>
      <c r="G63" s="6"/>
      <c r="H63" s="6"/>
      <c r="I63" s="6"/>
      <c r="J63" s="6"/>
    </row>
    <row r="64" spans="2:10" hidden="1">
      <c r="B64" s="4"/>
      <c r="C64" s="6" t="s">
        <v>63</v>
      </c>
      <c r="D64" s="6"/>
      <c r="E64" s="6"/>
      <c r="F64" s="6"/>
      <c r="G64" s="6"/>
      <c r="H64" s="6"/>
      <c r="I64" s="6"/>
      <c r="J64" s="6"/>
    </row>
    <row r="65" spans="2:10" hidden="1">
      <c r="B65" s="4"/>
      <c r="C65" s="6" t="s">
        <v>65</v>
      </c>
      <c r="D65" s="6"/>
      <c r="E65" s="6"/>
      <c r="F65" s="6"/>
      <c r="G65" s="6"/>
      <c r="H65" s="6"/>
      <c r="I65" s="6"/>
      <c r="J65" s="6"/>
    </row>
    <row r="66" spans="2:10" hidden="1">
      <c r="B66" s="4"/>
      <c r="C66" s="6" t="s">
        <v>67</v>
      </c>
      <c r="D66" s="6"/>
      <c r="E66" s="6"/>
      <c r="F66" s="6"/>
      <c r="G66" s="6"/>
      <c r="H66" s="6"/>
      <c r="I66" s="6"/>
      <c r="J66" s="6"/>
    </row>
    <row r="67" spans="2:10" hidden="1">
      <c r="B67" s="4"/>
      <c r="C67" s="6" t="s">
        <v>68</v>
      </c>
      <c r="D67" s="6"/>
      <c r="E67" s="6"/>
      <c r="F67" s="6"/>
      <c r="G67" s="6"/>
      <c r="H67" s="6"/>
      <c r="I67" s="6"/>
      <c r="J67" s="6"/>
    </row>
    <row r="68" spans="2:10" hidden="1">
      <c r="B68" s="4"/>
      <c r="C68" s="6" t="s">
        <v>69</v>
      </c>
      <c r="D68" s="6"/>
      <c r="E68" s="6"/>
      <c r="F68" s="6"/>
      <c r="G68" s="6"/>
      <c r="H68" s="6"/>
      <c r="I68" s="6"/>
      <c r="J68" s="6"/>
    </row>
    <row r="69" spans="2:10" hidden="1">
      <c r="B69" s="4"/>
      <c r="C69" s="6" t="s">
        <v>71</v>
      </c>
      <c r="D69" s="6"/>
      <c r="E69" s="6"/>
      <c r="F69" s="6"/>
      <c r="G69" s="6"/>
      <c r="H69" s="6"/>
      <c r="I69" s="6"/>
      <c r="J69" s="6"/>
    </row>
    <row r="70" spans="2:10" hidden="1">
      <c r="B70" s="4"/>
      <c r="C70" s="6" t="s">
        <v>72</v>
      </c>
      <c r="D70" s="6"/>
      <c r="E70" s="6"/>
      <c r="F70" s="6"/>
      <c r="G70" s="6"/>
      <c r="H70" s="6"/>
      <c r="I70" s="6"/>
      <c r="J70" s="6"/>
    </row>
    <row r="71" spans="2:10" hidden="1"/>
    <row r="72" spans="2:10" hidden="1"/>
    <row r="73" spans="2:10" hidden="1">
      <c r="B73" s="10" t="s">
        <v>88</v>
      </c>
    </row>
    <row r="74" spans="2:10" hidden="1">
      <c r="B74" s="5" t="s">
        <v>89</v>
      </c>
      <c r="C74" s="6" t="s">
        <v>52</v>
      </c>
      <c r="D74" s="6"/>
      <c r="E74" s="6"/>
      <c r="F74" s="6"/>
      <c r="G74" s="6"/>
      <c r="H74" s="6"/>
      <c r="I74" s="6"/>
      <c r="J74" s="6"/>
    </row>
    <row r="75" spans="2:10" hidden="1">
      <c r="B75" s="5"/>
      <c r="C75" s="6" t="s">
        <v>63</v>
      </c>
      <c r="D75" s="6"/>
      <c r="E75" s="6"/>
      <c r="F75" s="6"/>
      <c r="G75" s="6"/>
      <c r="H75" s="6"/>
      <c r="I75" s="6"/>
      <c r="J75" s="6"/>
    </row>
    <row r="76" spans="2:10" hidden="1">
      <c r="B76" s="5"/>
      <c r="C76" s="6" t="s">
        <v>65</v>
      </c>
      <c r="D76" s="6"/>
      <c r="E76" s="6"/>
      <c r="F76" s="6"/>
      <c r="G76" s="6"/>
      <c r="H76" s="6"/>
      <c r="I76" s="6"/>
      <c r="J76" s="6"/>
    </row>
    <row r="77" spans="2:10" hidden="1">
      <c r="B77" s="5"/>
      <c r="C77" s="6" t="s">
        <v>67</v>
      </c>
      <c r="D77" s="6"/>
      <c r="E77" s="6"/>
      <c r="F77" s="6"/>
      <c r="G77" s="6"/>
      <c r="H77" s="6"/>
      <c r="I77" s="6"/>
      <c r="J77" s="6"/>
    </row>
    <row r="78" spans="2:10" hidden="1">
      <c r="B78" s="5"/>
      <c r="C78" s="6" t="s">
        <v>68</v>
      </c>
      <c r="D78" s="6"/>
      <c r="E78" s="6"/>
      <c r="F78" s="6"/>
      <c r="G78" s="6"/>
      <c r="H78" s="6"/>
      <c r="I78" s="6"/>
      <c r="J78" s="6"/>
    </row>
    <row r="79" spans="2:10" hidden="1">
      <c r="B79" s="5"/>
      <c r="C79" s="6" t="s">
        <v>69</v>
      </c>
      <c r="D79" s="6"/>
      <c r="E79" s="6"/>
      <c r="F79" s="6"/>
      <c r="G79" s="6"/>
      <c r="H79" s="6"/>
      <c r="I79" s="6"/>
      <c r="J79" s="6"/>
    </row>
    <row r="80" spans="2:10" hidden="1">
      <c r="B80" s="5"/>
      <c r="C80" s="6" t="s">
        <v>71</v>
      </c>
      <c r="D80" s="6"/>
      <c r="E80" s="6"/>
      <c r="F80" s="6"/>
      <c r="G80" s="6"/>
      <c r="H80" s="6"/>
      <c r="I80" s="6"/>
      <c r="J80" s="6"/>
    </row>
    <row r="81" spans="2:10" hidden="1">
      <c r="B81" s="5"/>
      <c r="C81" s="6" t="s">
        <v>72</v>
      </c>
      <c r="D81" s="6"/>
      <c r="E81" s="6"/>
      <c r="F81" s="6"/>
      <c r="G81" s="6"/>
      <c r="H81" s="6"/>
      <c r="I81" s="6"/>
      <c r="J81" s="6"/>
    </row>
    <row r="82" spans="2:10" hidden="1"/>
    <row r="83" spans="2:10" hidden="1"/>
    <row r="84" spans="2:10" hidden="1">
      <c r="B84" s="11" t="s">
        <v>94</v>
      </c>
    </row>
    <row r="85" spans="2:10" hidden="1">
      <c r="B85" s="12" t="s">
        <v>95</v>
      </c>
      <c r="C85" s="6" t="s">
        <v>52</v>
      </c>
      <c r="D85" s="6"/>
      <c r="E85" s="6"/>
      <c r="F85" s="6"/>
      <c r="G85" s="6"/>
      <c r="H85" s="6"/>
      <c r="I85" s="6"/>
      <c r="J85" s="6"/>
    </row>
    <row r="86" spans="2:10" hidden="1">
      <c r="B86" s="12"/>
      <c r="C86" s="6" t="s">
        <v>63</v>
      </c>
      <c r="D86" s="6"/>
      <c r="E86" s="6"/>
      <c r="F86" s="6"/>
      <c r="G86" s="6"/>
      <c r="H86" s="6"/>
      <c r="I86" s="6"/>
      <c r="J86" s="6"/>
    </row>
    <row r="87" spans="2:10" hidden="1">
      <c r="B87" s="12"/>
      <c r="C87" s="6" t="s">
        <v>65</v>
      </c>
      <c r="D87" s="6"/>
      <c r="E87" s="6"/>
      <c r="F87" s="6"/>
      <c r="G87" s="6"/>
      <c r="H87" s="6"/>
      <c r="I87" s="6"/>
      <c r="J87" s="6"/>
    </row>
    <row r="88" spans="2:10" hidden="1">
      <c r="B88" s="12"/>
      <c r="C88" s="6" t="s">
        <v>67</v>
      </c>
      <c r="D88" s="6"/>
      <c r="E88" s="6"/>
      <c r="F88" s="6"/>
      <c r="G88" s="6"/>
      <c r="H88" s="6"/>
      <c r="I88" s="6"/>
      <c r="J88" s="6"/>
    </row>
    <row r="89" spans="2:10" hidden="1">
      <c r="B89" s="12"/>
      <c r="C89" s="6" t="s">
        <v>68</v>
      </c>
      <c r="D89" s="6"/>
      <c r="E89" s="6"/>
      <c r="F89" s="6"/>
      <c r="G89" s="6"/>
      <c r="H89" s="6"/>
      <c r="I89" s="6"/>
      <c r="J89" s="6"/>
    </row>
    <row r="90" spans="2:10" hidden="1">
      <c r="B90" s="12"/>
      <c r="C90" s="6" t="s">
        <v>69</v>
      </c>
      <c r="D90" s="6"/>
      <c r="E90" s="6"/>
      <c r="F90" s="6"/>
      <c r="G90" s="6"/>
      <c r="H90" s="6"/>
      <c r="I90" s="6"/>
      <c r="J90" s="6"/>
    </row>
    <row r="91" spans="2:10" hidden="1">
      <c r="B91" s="12"/>
      <c r="C91" s="6" t="s">
        <v>71</v>
      </c>
      <c r="D91" s="6"/>
      <c r="E91" s="6"/>
      <c r="F91" s="6"/>
      <c r="G91" s="6"/>
      <c r="H91" s="6"/>
      <c r="I91" s="6"/>
      <c r="J91" s="6"/>
    </row>
    <row r="92" spans="2:10" hidden="1">
      <c r="B92" s="12"/>
      <c r="C92" s="6" t="s">
        <v>72</v>
      </c>
      <c r="D92" s="6"/>
      <c r="E92" s="6"/>
      <c r="F92" s="6"/>
      <c r="G92" s="6"/>
      <c r="H92" s="6"/>
      <c r="I92" s="6"/>
      <c r="J92" s="6"/>
    </row>
    <row r="93" spans="2:10" ht="106.5" hidden="1">
      <c r="B93" s="13" t="s">
        <v>103</v>
      </c>
    </row>
    <row r="94" spans="2:10" hidden="1"/>
    <row r="95" spans="2:10" hidden="1"/>
    <row r="96" spans="2:10" hidden="1"/>
    <row r="97" spans="2:7">
      <c r="B97" s="12" t="s">
        <v>104</v>
      </c>
    </row>
    <row r="98" spans="2:7" hidden="1"/>
    <row r="99" spans="2:7" hidden="1"/>
    <row r="100" spans="2:7" hidden="1">
      <c r="B100" s="32" t="s">
        <v>105</v>
      </c>
      <c r="C100" s="70"/>
      <c r="D100" s="70"/>
      <c r="E100" s="70"/>
      <c r="F100" s="70"/>
      <c r="G100" s="70"/>
    </row>
    <row r="101" spans="2:7" hidden="1">
      <c r="C101" s="70"/>
      <c r="D101" s="70"/>
      <c r="E101" s="70"/>
      <c r="F101" s="70"/>
      <c r="G101" s="70"/>
    </row>
    <row r="102" spans="2:7" hidden="1">
      <c r="C102" s="70"/>
      <c r="D102" s="70"/>
      <c r="E102" s="70"/>
      <c r="F102" s="70"/>
      <c r="G102" s="70"/>
    </row>
    <row r="103" spans="2:7" hidden="1"/>
  </sheetData>
  <mergeCells count="2">
    <mergeCell ref="D2:F2"/>
    <mergeCell ref="C100:G102"/>
  </mergeCells>
  <dataValidations count="1">
    <dataValidation type="list" allowBlank="1" showInputMessage="1" showErrorMessage="1" sqref="C97 C25:C26 C30 C19 C40 C84 C51 C73 C62" xr:uid="{413EB09D-0DAA-4830-B36F-951225387F6C}">
      <formula1>"Ja,Nein"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8488AB42-3621-42CD-B767-2B29DB050D19}">
          <x14:formula1>
            <xm:f>'Mateial list'!$C$4:$C$56</xm:f>
          </x14:formula1>
          <xm:sqref>D42:XFD42</xm:sqref>
        </x14:dataValidation>
        <x14:dataValidation type="list" allowBlank="1" showInputMessage="1" showErrorMessage="1" xr:uid="{C4E3A161-B07F-46AF-A4CD-44875D15131D}">
          <x14:formula1>
            <xm:f>'Process list'!$C$4:$C$78</xm:f>
          </x14:formula1>
          <xm:sqref>D53:XFD53</xm:sqref>
        </x14:dataValidation>
        <x14:dataValidation type="list" allowBlank="1" showInputMessage="1" showErrorMessage="1" xr:uid="{6D3D38B6-A9DD-47A4-ABF8-530CAB279D60}">
          <x14:formula1>
            <xm:f>'Tooling list'!$C$3:$C$11</xm:f>
          </x14:formula1>
          <xm:sqref>D64:XFD64</xm:sqref>
        </x14:dataValidation>
        <x14:dataValidation type="list" allowBlank="1" showInputMessage="1" showErrorMessage="1" xr:uid="{98D5B021-ACDB-41C1-9832-119FD358F093}">
          <x14:formula1>
            <xm:f>'Fastener list'!$C$3:$C$16</xm:f>
          </x14:formula1>
          <xm:sqref>D86:XFD86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C1D56-FE14-4E6A-9EF2-EA1A4DCE0919}">
  <sheetPr>
    <tabColor rgb="FFFF3300"/>
  </sheetPr>
  <dimension ref="B3:E78"/>
  <sheetViews>
    <sheetView topLeftCell="A39" workbookViewId="0">
      <selection activeCell="E40" sqref="E40"/>
    </sheetView>
  </sheetViews>
  <sheetFormatPr defaultRowHeight="15"/>
  <cols>
    <col min="2" max="5" width="26.85546875" customWidth="1"/>
  </cols>
  <sheetData>
    <row r="3" spans="2:5" ht="49.5" customHeight="1">
      <c r="B3" t="s">
        <v>163</v>
      </c>
      <c r="C3" t="s">
        <v>164</v>
      </c>
      <c r="D3" t="s">
        <v>165</v>
      </c>
      <c r="E3" t="s">
        <v>166</v>
      </c>
    </row>
    <row r="4" spans="2:5" ht="49.5" customHeight="1">
      <c r="B4" s="36" t="s">
        <v>114</v>
      </c>
      <c r="C4" s="36" t="s">
        <v>114</v>
      </c>
      <c r="D4" s="36" t="s">
        <v>167</v>
      </c>
      <c r="E4" s="36" t="s">
        <v>168</v>
      </c>
    </row>
    <row r="5" spans="2:5" ht="49.5" customHeight="1">
      <c r="B5" s="36" t="s">
        <v>169</v>
      </c>
      <c r="C5" s="36" t="s">
        <v>170</v>
      </c>
      <c r="D5" s="36" t="s">
        <v>171</v>
      </c>
      <c r="E5" s="36" t="s">
        <v>172</v>
      </c>
    </row>
    <row r="6" spans="2:5" ht="49.5" customHeight="1">
      <c r="B6" s="36" t="s">
        <v>173</v>
      </c>
      <c r="C6" s="36" t="s">
        <v>174</v>
      </c>
      <c r="D6" s="36" t="s">
        <v>175</v>
      </c>
      <c r="E6" s="36" t="s">
        <v>176</v>
      </c>
    </row>
    <row r="7" spans="2:5" ht="49.5" customHeight="1">
      <c r="B7" s="36" t="s">
        <v>173</v>
      </c>
      <c r="C7" s="36" t="s">
        <v>177</v>
      </c>
      <c r="D7" s="36" t="s">
        <v>178</v>
      </c>
      <c r="E7" s="36" t="s">
        <v>179</v>
      </c>
    </row>
    <row r="8" spans="2:5" ht="49.5" customHeight="1">
      <c r="B8" s="36" t="s">
        <v>0</v>
      </c>
      <c r="C8" s="36" t="s">
        <v>79</v>
      </c>
      <c r="D8" s="36" t="s">
        <v>180</v>
      </c>
      <c r="E8" s="36" t="s">
        <v>181</v>
      </c>
    </row>
    <row r="9" spans="2:5" ht="49.5" customHeight="1">
      <c r="B9" s="36" t="s">
        <v>182</v>
      </c>
      <c r="C9" s="36" t="s">
        <v>183</v>
      </c>
      <c r="D9" s="36" t="s">
        <v>184</v>
      </c>
      <c r="E9" s="36" t="s">
        <v>185</v>
      </c>
    </row>
    <row r="10" spans="2:5" ht="49.5" customHeight="1">
      <c r="B10" s="36" t="s">
        <v>186</v>
      </c>
      <c r="C10" s="36" t="s">
        <v>187</v>
      </c>
      <c r="D10" s="36" t="s">
        <v>188</v>
      </c>
      <c r="E10" s="36" t="s">
        <v>189</v>
      </c>
    </row>
    <row r="11" spans="2:5" ht="49.5" customHeight="1">
      <c r="B11" s="36" t="s">
        <v>169</v>
      </c>
      <c r="C11" s="36" t="s">
        <v>190</v>
      </c>
      <c r="D11" s="36" t="s">
        <v>191</v>
      </c>
      <c r="E11" s="36" t="s">
        <v>192</v>
      </c>
    </row>
    <row r="12" spans="2:5" ht="49.5" customHeight="1">
      <c r="B12" s="36" t="s">
        <v>0</v>
      </c>
      <c r="C12" s="36" t="s">
        <v>193</v>
      </c>
      <c r="D12" s="36" t="s">
        <v>194</v>
      </c>
      <c r="E12" s="36" t="s">
        <v>195</v>
      </c>
    </row>
    <row r="13" spans="2:5" ht="49.5" customHeight="1">
      <c r="B13" s="36" t="s">
        <v>78</v>
      </c>
      <c r="C13" s="36" t="s">
        <v>196</v>
      </c>
      <c r="D13" s="36" t="s">
        <v>197</v>
      </c>
      <c r="E13" s="36" t="s">
        <v>198</v>
      </c>
    </row>
    <row r="14" spans="2:5" ht="49.5" customHeight="1">
      <c r="B14" s="36" t="s">
        <v>173</v>
      </c>
      <c r="C14" s="36" t="s">
        <v>199</v>
      </c>
      <c r="D14" s="36" t="s">
        <v>200</v>
      </c>
      <c r="E14" s="36" t="s">
        <v>201</v>
      </c>
    </row>
    <row r="15" spans="2:5" ht="49.5" customHeight="1">
      <c r="B15" s="36" t="s">
        <v>186</v>
      </c>
      <c r="C15" s="36" t="s">
        <v>202</v>
      </c>
      <c r="D15" s="36" t="s">
        <v>203</v>
      </c>
      <c r="E15" s="36" t="s">
        <v>204</v>
      </c>
    </row>
    <row r="16" spans="2:5" ht="49.5" customHeight="1">
      <c r="B16" s="36" t="s">
        <v>173</v>
      </c>
      <c r="C16" s="36" t="s">
        <v>205</v>
      </c>
      <c r="D16" s="36" t="s">
        <v>206</v>
      </c>
      <c r="E16" s="36" t="s">
        <v>207</v>
      </c>
    </row>
    <row r="17" spans="2:5" ht="49.5" customHeight="1">
      <c r="B17" s="36" t="s">
        <v>0</v>
      </c>
      <c r="C17" s="36" t="s">
        <v>208</v>
      </c>
      <c r="D17" s="36" t="s">
        <v>209</v>
      </c>
      <c r="E17" s="36" t="s">
        <v>210</v>
      </c>
    </row>
    <row r="18" spans="2:5" ht="49.5" customHeight="1">
      <c r="B18" s="36" t="s">
        <v>0</v>
      </c>
      <c r="C18" s="36" t="s">
        <v>211</v>
      </c>
      <c r="D18" s="36" t="s">
        <v>212</v>
      </c>
      <c r="E18" s="36" t="s">
        <v>213</v>
      </c>
    </row>
    <row r="19" spans="2:5" ht="49.5" customHeight="1">
      <c r="B19" s="36" t="s">
        <v>169</v>
      </c>
      <c r="C19" s="36" t="s">
        <v>214</v>
      </c>
      <c r="D19" s="36" t="s">
        <v>215</v>
      </c>
      <c r="E19" s="36" t="s">
        <v>216</v>
      </c>
    </row>
    <row r="20" spans="2:5" ht="49.5" customHeight="1">
      <c r="B20" s="36" t="s">
        <v>217</v>
      </c>
      <c r="C20" s="36" t="s">
        <v>218</v>
      </c>
      <c r="D20" s="36" t="s">
        <v>219</v>
      </c>
      <c r="E20" s="36" t="s">
        <v>220</v>
      </c>
    </row>
    <row r="21" spans="2:5" ht="49.5" customHeight="1">
      <c r="B21" s="36" t="s">
        <v>217</v>
      </c>
      <c r="C21" s="36" t="s">
        <v>221</v>
      </c>
      <c r="D21" s="36" t="s">
        <v>222</v>
      </c>
      <c r="E21" s="36" t="s">
        <v>223</v>
      </c>
    </row>
    <row r="22" spans="2:5" ht="49.5" customHeight="1">
      <c r="B22" s="36" t="s">
        <v>217</v>
      </c>
      <c r="C22" s="36" t="s">
        <v>224</v>
      </c>
      <c r="D22" s="36" t="s">
        <v>225</v>
      </c>
      <c r="E22" s="36" t="s">
        <v>226</v>
      </c>
    </row>
    <row r="23" spans="2:5" ht="49.5" customHeight="1">
      <c r="B23" s="36" t="s">
        <v>78</v>
      </c>
      <c r="C23" s="36" t="s">
        <v>227</v>
      </c>
      <c r="D23" s="36" t="s">
        <v>228</v>
      </c>
      <c r="E23" s="36" t="s">
        <v>229</v>
      </c>
    </row>
    <row r="24" spans="2:5" ht="49.5" customHeight="1">
      <c r="B24" s="36" t="s">
        <v>78</v>
      </c>
      <c r="C24" s="36" t="s">
        <v>230</v>
      </c>
      <c r="D24" s="36" t="s">
        <v>231</v>
      </c>
      <c r="E24" s="36" t="s">
        <v>232</v>
      </c>
    </row>
    <row r="25" spans="2:5" ht="49.5" customHeight="1">
      <c r="B25" s="36" t="s">
        <v>78</v>
      </c>
      <c r="C25" s="36" t="s">
        <v>233</v>
      </c>
      <c r="D25" s="36" t="s">
        <v>234</v>
      </c>
      <c r="E25" s="36" t="s">
        <v>235</v>
      </c>
    </row>
    <row r="26" spans="2:5" ht="49.5" customHeight="1">
      <c r="B26" s="36" t="s">
        <v>169</v>
      </c>
      <c r="C26" s="36" t="s">
        <v>236</v>
      </c>
      <c r="D26" s="36" t="s">
        <v>237</v>
      </c>
      <c r="E26" s="36" t="s">
        <v>238</v>
      </c>
    </row>
    <row r="27" spans="2:5" ht="49.5" customHeight="1">
      <c r="B27" s="36" t="s">
        <v>0</v>
      </c>
      <c r="C27" s="36" t="s">
        <v>239</v>
      </c>
      <c r="D27" s="36" t="s">
        <v>240</v>
      </c>
      <c r="E27" s="36" t="s">
        <v>241</v>
      </c>
    </row>
    <row r="28" spans="2:5" ht="49.5" customHeight="1">
      <c r="B28" s="36" t="s">
        <v>78</v>
      </c>
      <c r="C28" s="36" t="s">
        <v>242</v>
      </c>
      <c r="D28" s="36" t="s">
        <v>243</v>
      </c>
      <c r="E28" s="36" t="s">
        <v>244</v>
      </c>
    </row>
    <row r="29" spans="2:5" ht="49.5" customHeight="1">
      <c r="B29" s="36" t="s">
        <v>78</v>
      </c>
      <c r="C29" s="36" t="s">
        <v>245</v>
      </c>
      <c r="D29" s="36" t="s">
        <v>246</v>
      </c>
      <c r="E29" s="36" t="s">
        <v>247</v>
      </c>
    </row>
    <row r="30" spans="2:5" ht="49.5" customHeight="1">
      <c r="B30" s="36" t="s">
        <v>173</v>
      </c>
      <c r="C30" s="36" t="s">
        <v>248</v>
      </c>
      <c r="D30" s="36" t="s">
        <v>249</v>
      </c>
      <c r="E30" s="36" t="s">
        <v>250</v>
      </c>
    </row>
    <row r="31" spans="2:5" ht="49.5" customHeight="1">
      <c r="B31" s="36" t="s">
        <v>169</v>
      </c>
      <c r="C31" s="36" t="s">
        <v>251</v>
      </c>
      <c r="D31" s="36" t="s">
        <v>252</v>
      </c>
      <c r="E31" s="36" t="s">
        <v>253</v>
      </c>
    </row>
    <row r="32" spans="2:5" ht="49.5" customHeight="1">
      <c r="B32" s="36" t="s">
        <v>182</v>
      </c>
      <c r="C32" s="36" t="s">
        <v>254</v>
      </c>
      <c r="D32" s="36" t="s">
        <v>255</v>
      </c>
      <c r="E32" s="36" t="s">
        <v>256</v>
      </c>
    </row>
    <row r="33" spans="2:5" ht="49.5" customHeight="1">
      <c r="B33" s="36" t="s">
        <v>182</v>
      </c>
      <c r="C33" s="36" t="s">
        <v>257</v>
      </c>
      <c r="D33" s="36" t="s">
        <v>258</v>
      </c>
      <c r="E33" s="36" t="s">
        <v>259</v>
      </c>
    </row>
    <row r="34" spans="2:5" ht="49.5" customHeight="1">
      <c r="B34" s="36" t="s">
        <v>182</v>
      </c>
      <c r="C34" s="36" t="s">
        <v>260</v>
      </c>
      <c r="D34" s="36" t="s">
        <v>261</v>
      </c>
      <c r="E34" s="36" t="s">
        <v>262</v>
      </c>
    </row>
    <row r="35" spans="2:5" ht="49.5" customHeight="1">
      <c r="B35" s="36" t="s">
        <v>78</v>
      </c>
      <c r="C35" s="36" t="s">
        <v>263</v>
      </c>
      <c r="D35" s="36" t="s">
        <v>264</v>
      </c>
      <c r="E35" s="36" t="s">
        <v>265</v>
      </c>
    </row>
    <row r="36" spans="2:5" ht="49.5" customHeight="1">
      <c r="B36" s="36" t="s">
        <v>182</v>
      </c>
      <c r="C36" s="36" t="s">
        <v>266</v>
      </c>
      <c r="D36" s="36" t="s">
        <v>267</v>
      </c>
      <c r="E36" s="36" t="s">
        <v>268</v>
      </c>
    </row>
    <row r="37" spans="2:5" ht="49.5" customHeight="1">
      <c r="B37" s="36" t="s">
        <v>169</v>
      </c>
      <c r="C37" s="36" t="s">
        <v>269</v>
      </c>
      <c r="D37" s="36" t="s">
        <v>270</v>
      </c>
      <c r="E37" s="36" t="s">
        <v>271</v>
      </c>
    </row>
    <row r="38" spans="2:5" ht="49.5" customHeight="1">
      <c r="B38" s="36" t="s">
        <v>217</v>
      </c>
      <c r="C38" s="36" t="s">
        <v>272</v>
      </c>
      <c r="D38" s="36" t="s">
        <v>273</v>
      </c>
      <c r="E38" s="36" t="s">
        <v>274</v>
      </c>
    </row>
    <row r="39" spans="2:5" ht="49.5" customHeight="1">
      <c r="B39" s="36" t="s">
        <v>169</v>
      </c>
      <c r="C39" s="36" t="s">
        <v>275</v>
      </c>
      <c r="D39" s="36" t="s">
        <v>276</v>
      </c>
      <c r="E39" s="36" t="s">
        <v>277</v>
      </c>
    </row>
    <row r="40" spans="2:5" ht="49.5" customHeight="1">
      <c r="B40" s="36" t="s">
        <v>78</v>
      </c>
      <c r="C40" s="36" t="s">
        <v>78</v>
      </c>
      <c r="D40" s="36" t="s">
        <v>278</v>
      </c>
      <c r="E40" s="36" t="s">
        <v>279</v>
      </c>
    </row>
    <row r="41" spans="2:5" ht="49.5" customHeight="1">
      <c r="B41" s="36" t="s">
        <v>78</v>
      </c>
      <c r="C41" s="36" t="s">
        <v>77</v>
      </c>
      <c r="D41" s="36" t="s">
        <v>280</v>
      </c>
      <c r="E41" s="36" t="s">
        <v>281</v>
      </c>
    </row>
    <row r="42" spans="2:5" ht="49.5" customHeight="1">
      <c r="B42" s="36" t="s">
        <v>78</v>
      </c>
      <c r="C42" s="36" t="s">
        <v>282</v>
      </c>
      <c r="D42" s="36" t="s">
        <v>283</v>
      </c>
      <c r="E42" s="36" t="s">
        <v>284</v>
      </c>
    </row>
    <row r="43" spans="2:5" ht="49.5" customHeight="1">
      <c r="B43" s="36" t="s">
        <v>217</v>
      </c>
      <c r="C43" s="36" t="s">
        <v>285</v>
      </c>
      <c r="D43" s="36" t="s">
        <v>286</v>
      </c>
      <c r="E43" s="36" t="s">
        <v>287</v>
      </c>
    </row>
    <row r="44" spans="2:5" ht="49.5" customHeight="1">
      <c r="B44" s="36" t="s">
        <v>115</v>
      </c>
      <c r="C44" s="36" t="s">
        <v>115</v>
      </c>
      <c r="D44" s="36" t="s">
        <v>288</v>
      </c>
      <c r="E44" s="36" t="s">
        <v>289</v>
      </c>
    </row>
    <row r="45" spans="2:5" ht="49.5" customHeight="1">
      <c r="B45" s="36" t="s">
        <v>173</v>
      </c>
      <c r="C45" s="36" t="s">
        <v>290</v>
      </c>
      <c r="D45" s="36" t="s">
        <v>291</v>
      </c>
      <c r="E45" s="36" t="s">
        <v>292</v>
      </c>
    </row>
    <row r="46" spans="2:5" ht="49.5" customHeight="1">
      <c r="B46" s="36" t="s">
        <v>217</v>
      </c>
      <c r="C46" s="36" t="s">
        <v>293</v>
      </c>
      <c r="D46" s="36" t="s">
        <v>294</v>
      </c>
      <c r="E46" s="36" t="s">
        <v>295</v>
      </c>
    </row>
    <row r="47" spans="2:5" ht="49.5" customHeight="1">
      <c r="B47" s="36" t="s">
        <v>186</v>
      </c>
      <c r="C47" s="36" t="s">
        <v>296</v>
      </c>
      <c r="D47" s="36" t="s">
        <v>297</v>
      </c>
      <c r="E47" s="36" t="s">
        <v>298</v>
      </c>
    </row>
    <row r="48" spans="2:5" ht="49.5" customHeight="1">
      <c r="B48" s="36" t="s">
        <v>169</v>
      </c>
      <c r="C48" s="62" t="s">
        <v>299</v>
      </c>
      <c r="D48" s="36" t="s">
        <v>300</v>
      </c>
      <c r="E48" s="36" t="s">
        <v>301</v>
      </c>
    </row>
    <row r="49" spans="2:5" ht="49.5" customHeight="1">
      <c r="B49" s="36" t="s">
        <v>186</v>
      </c>
      <c r="C49" s="36" t="s">
        <v>302</v>
      </c>
      <c r="D49" s="36" t="s">
        <v>303</v>
      </c>
      <c r="E49" s="36" t="s">
        <v>304</v>
      </c>
    </row>
    <row r="50" spans="2:5" ht="49.5" customHeight="1">
      <c r="B50" s="36" t="s">
        <v>173</v>
      </c>
      <c r="C50" s="36" t="s">
        <v>305</v>
      </c>
      <c r="D50" s="36" t="s">
        <v>306</v>
      </c>
      <c r="E50" s="36" t="s">
        <v>307</v>
      </c>
    </row>
    <row r="51" spans="2:5" ht="49.5" customHeight="1">
      <c r="B51" s="36" t="s">
        <v>169</v>
      </c>
      <c r="C51" s="36" t="s">
        <v>111</v>
      </c>
      <c r="D51" s="36" t="s">
        <v>308</v>
      </c>
      <c r="E51" s="36" t="s">
        <v>309</v>
      </c>
    </row>
    <row r="52" spans="2:5" ht="49.5" customHeight="1">
      <c r="B52" s="36" t="s">
        <v>169</v>
      </c>
      <c r="C52" s="36" t="s">
        <v>113</v>
      </c>
      <c r="D52" s="36" t="s">
        <v>310</v>
      </c>
      <c r="E52" s="36" t="s">
        <v>311</v>
      </c>
    </row>
    <row r="53" spans="2:5" ht="49.5" customHeight="1">
      <c r="B53" s="36" t="s">
        <v>169</v>
      </c>
      <c r="C53" s="36" t="s">
        <v>312</v>
      </c>
      <c r="D53" s="36" t="s">
        <v>313</v>
      </c>
      <c r="E53" s="36" t="s">
        <v>314</v>
      </c>
    </row>
    <row r="54" spans="2:5" ht="49.5" customHeight="1">
      <c r="B54" s="36" t="s">
        <v>78</v>
      </c>
      <c r="C54" s="36" t="s">
        <v>315</v>
      </c>
      <c r="D54" s="36" t="s">
        <v>316</v>
      </c>
      <c r="E54" s="36" t="s">
        <v>317</v>
      </c>
    </row>
    <row r="55" spans="2:5" ht="49.5" customHeight="1">
      <c r="B55" s="36" t="s">
        <v>173</v>
      </c>
      <c r="C55" s="36" t="s">
        <v>318</v>
      </c>
      <c r="D55" s="36" t="s">
        <v>319</v>
      </c>
      <c r="E55" s="36" t="s">
        <v>320</v>
      </c>
    </row>
    <row r="56" spans="2:5" ht="49.5" customHeight="1">
      <c r="B56" s="36" t="s">
        <v>0</v>
      </c>
      <c r="C56" s="36" t="s">
        <v>321</v>
      </c>
      <c r="D56" s="36" t="s">
        <v>322</v>
      </c>
      <c r="E56" s="36" t="s">
        <v>323</v>
      </c>
    </row>
    <row r="57" spans="2:5" ht="49.5" customHeight="1">
      <c r="B57" s="36" t="s">
        <v>0</v>
      </c>
      <c r="C57" s="36" t="s">
        <v>324</v>
      </c>
      <c r="D57" s="36" t="s">
        <v>325</v>
      </c>
      <c r="E57" s="36" t="s">
        <v>326</v>
      </c>
    </row>
    <row r="58" spans="2:5" ht="49.5" customHeight="1">
      <c r="B58" s="36" t="s">
        <v>173</v>
      </c>
      <c r="C58" s="36" t="s">
        <v>327</v>
      </c>
      <c r="D58" s="36" t="s">
        <v>328</v>
      </c>
      <c r="E58" s="36" t="s">
        <v>329</v>
      </c>
    </row>
    <row r="59" spans="2:5" ht="49.5" customHeight="1">
      <c r="B59" s="36" t="s">
        <v>169</v>
      </c>
      <c r="C59" s="36" t="s">
        <v>330</v>
      </c>
      <c r="D59" s="36" t="s">
        <v>331</v>
      </c>
      <c r="E59" s="36" t="s">
        <v>332</v>
      </c>
    </row>
    <row r="60" spans="2:5" ht="49.5" customHeight="1">
      <c r="B60" s="36" t="s">
        <v>186</v>
      </c>
      <c r="C60" s="63" t="s">
        <v>333</v>
      </c>
      <c r="D60" s="36" t="s">
        <v>334</v>
      </c>
      <c r="E60" s="36" t="s">
        <v>335</v>
      </c>
    </row>
    <row r="61" spans="2:5" ht="49.5" customHeight="1">
      <c r="B61" s="36" t="s">
        <v>182</v>
      </c>
      <c r="C61" s="36" t="s">
        <v>336</v>
      </c>
      <c r="D61" s="36" t="s">
        <v>337</v>
      </c>
      <c r="E61" s="36" t="s">
        <v>338</v>
      </c>
    </row>
    <row r="62" spans="2:5" ht="49.5" customHeight="1">
      <c r="B62" s="36" t="s">
        <v>186</v>
      </c>
      <c r="C62" s="36" t="s">
        <v>339</v>
      </c>
      <c r="D62" s="36" t="s">
        <v>340</v>
      </c>
      <c r="E62" s="36" t="s">
        <v>341</v>
      </c>
    </row>
    <row r="63" spans="2:5" ht="49.5" customHeight="1">
      <c r="B63" s="36" t="s">
        <v>0</v>
      </c>
      <c r="C63" s="36" t="s">
        <v>112</v>
      </c>
      <c r="D63" s="36" t="s">
        <v>342</v>
      </c>
      <c r="E63" s="36" t="s">
        <v>343</v>
      </c>
    </row>
    <row r="64" spans="2:5" ht="49.5" customHeight="1">
      <c r="B64" s="36" t="s">
        <v>186</v>
      </c>
      <c r="C64" s="36" t="s">
        <v>344</v>
      </c>
      <c r="D64" s="36" t="s">
        <v>345</v>
      </c>
      <c r="E64" s="36" t="s">
        <v>346</v>
      </c>
    </row>
    <row r="65" spans="2:5" ht="49.5" customHeight="1">
      <c r="B65" s="36" t="s">
        <v>182</v>
      </c>
      <c r="C65" s="36" t="s">
        <v>347</v>
      </c>
      <c r="D65" s="36" t="s">
        <v>348</v>
      </c>
      <c r="E65" s="36" t="s">
        <v>349</v>
      </c>
    </row>
    <row r="66" spans="2:5" ht="49.5" customHeight="1">
      <c r="B66" s="36" t="s">
        <v>182</v>
      </c>
      <c r="C66" s="36" t="s">
        <v>350</v>
      </c>
      <c r="D66" s="36" t="s">
        <v>351</v>
      </c>
      <c r="E66" s="36" t="s">
        <v>352</v>
      </c>
    </row>
    <row r="67" spans="2:5" ht="49.5" customHeight="1">
      <c r="B67" s="36" t="s">
        <v>173</v>
      </c>
      <c r="C67" s="36" t="s">
        <v>110</v>
      </c>
      <c r="D67" s="36" t="s">
        <v>353</v>
      </c>
      <c r="E67" s="36" t="s">
        <v>354</v>
      </c>
    </row>
    <row r="68" spans="2:5" ht="49.5" customHeight="1">
      <c r="B68" s="36" t="s">
        <v>169</v>
      </c>
      <c r="C68" s="36" t="s">
        <v>355</v>
      </c>
      <c r="D68" s="36" t="s">
        <v>356</v>
      </c>
      <c r="E68" s="36" t="s">
        <v>357</v>
      </c>
    </row>
    <row r="69" spans="2:5" ht="49.5" customHeight="1">
      <c r="B69" s="36" t="s">
        <v>169</v>
      </c>
      <c r="C69" s="37" t="s">
        <v>358</v>
      </c>
      <c r="D69" s="37" t="s">
        <v>359</v>
      </c>
      <c r="E69" s="37" t="s">
        <v>360</v>
      </c>
    </row>
    <row r="70" spans="2:5" ht="49.5" customHeight="1">
      <c r="B70" s="36" t="s">
        <v>169</v>
      </c>
      <c r="C70" s="36" t="s">
        <v>361</v>
      </c>
      <c r="D70" s="36" t="s">
        <v>362</v>
      </c>
      <c r="E70" s="36" t="s">
        <v>363</v>
      </c>
    </row>
    <row r="71" spans="2:5" ht="49.5" customHeight="1">
      <c r="B71" s="36" t="s">
        <v>78</v>
      </c>
      <c r="C71" s="36" t="s">
        <v>364</v>
      </c>
      <c r="D71" s="36" t="s">
        <v>365</v>
      </c>
      <c r="E71" s="36" t="s">
        <v>366</v>
      </c>
    </row>
    <row r="72" spans="2:5" ht="49.5" customHeight="1">
      <c r="B72" s="36" t="s">
        <v>78</v>
      </c>
      <c r="C72" s="36" t="s">
        <v>367</v>
      </c>
      <c r="D72" s="36" t="s">
        <v>368</v>
      </c>
      <c r="E72" s="36" t="s">
        <v>369</v>
      </c>
    </row>
    <row r="73" spans="2:5" ht="49.5" customHeight="1">
      <c r="B73" s="36" t="s">
        <v>186</v>
      </c>
      <c r="C73" s="36" t="s">
        <v>370</v>
      </c>
      <c r="D73" s="36" t="s">
        <v>371</v>
      </c>
      <c r="E73" s="36" t="s">
        <v>372</v>
      </c>
    </row>
    <row r="74" spans="2:5" ht="49.5" customHeight="1">
      <c r="B74" s="36" t="s">
        <v>186</v>
      </c>
      <c r="C74" s="36" t="s">
        <v>373</v>
      </c>
      <c r="D74" s="36" t="s">
        <v>374</v>
      </c>
      <c r="E74" s="36" t="s">
        <v>375</v>
      </c>
    </row>
    <row r="75" spans="2:5" ht="49.5" customHeight="1">
      <c r="B75" s="36" t="s">
        <v>217</v>
      </c>
      <c r="C75" s="36" t="s">
        <v>376</v>
      </c>
      <c r="D75" s="36" t="s">
        <v>377</v>
      </c>
      <c r="E75" s="36" t="s">
        <v>378</v>
      </c>
    </row>
    <row r="76" spans="2:5" ht="49.5" customHeight="1">
      <c r="B76" s="36" t="s">
        <v>0</v>
      </c>
      <c r="C76" s="36" t="s">
        <v>379</v>
      </c>
      <c r="D76" s="36" t="s">
        <v>380</v>
      </c>
      <c r="E76" s="36" t="s">
        <v>381</v>
      </c>
    </row>
    <row r="77" spans="2:5" ht="49.5" customHeight="1">
      <c r="B77" s="36" t="s">
        <v>182</v>
      </c>
      <c r="C77" s="36" t="s">
        <v>382</v>
      </c>
      <c r="D77" s="36" t="s">
        <v>383</v>
      </c>
      <c r="E77" s="36" t="s">
        <v>384</v>
      </c>
    </row>
    <row r="78" spans="2:5" ht="49.5" customHeight="1">
      <c r="B78" s="36" t="s">
        <v>182</v>
      </c>
      <c r="C78" s="36" t="s">
        <v>385</v>
      </c>
      <c r="D78" s="36" t="s">
        <v>386</v>
      </c>
      <c r="E78" s="36" t="s">
        <v>387</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FE85-D4F5-4655-BB22-97F8EE76F88D}">
  <sheetPr>
    <tabColor rgb="FFFF3300"/>
  </sheetPr>
  <dimension ref="B3:E56"/>
  <sheetViews>
    <sheetView workbookViewId="0">
      <selection activeCell="H10" sqref="H10"/>
    </sheetView>
  </sheetViews>
  <sheetFormatPr defaultRowHeight="15"/>
  <cols>
    <col min="2" max="5" width="32.5703125" customWidth="1"/>
  </cols>
  <sheetData>
    <row r="3" spans="2:5">
      <c r="B3" t="s">
        <v>163</v>
      </c>
      <c r="C3" t="s">
        <v>388</v>
      </c>
      <c r="D3" t="s">
        <v>165</v>
      </c>
      <c r="E3" t="s">
        <v>389</v>
      </c>
    </row>
    <row r="4" spans="2:5" ht="34.5" customHeight="1">
      <c r="B4" s="36" t="s">
        <v>390</v>
      </c>
      <c r="C4" s="36" t="s">
        <v>391</v>
      </c>
      <c r="D4" s="36" t="s">
        <v>392</v>
      </c>
      <c r="E4" s="36" t="s">
        <v>393</v>
      </c>
    </row>
    <row r="5" spans="2:5" ht="34.5" customHeight="1">
      <c r="B5" s="36" t="s">
        <v>394</v>
      </c>
      <c r="C5" s="36" t="s">
        <v>107</v>
      </c>
      <c r="D5" s="36" t="s">
        <v>395</v>
      </c>
      <c r="E5" s="36" t="s">
        <v>396</v>
      </c>
    </row>
    <row r="6" spans="2:5" ht="34.5" customHeight="1">
      <c r="B6" s="36" t="s">
        <v>390</v>
      </c>
      <c r="C6" s="36" t="s">
        <v>397</v>
      </c>
      <c r="D6" s="36" t="s">
        <v>398</v>
      </c>
      <c r="E6" s="36" t="s">
        <v>399</v>
      </c>
    </row>
    <row r="7" spans="2:5" ht="34.5" customHeight="1">
      <c r="B7" s="36" t="s">
        <v>400</v>
      </c>
      <c r="C7" s="36" t="s">
        <v>64</v>
      </c>
      <c r="D7" s="36" t="s">
        <v>401</v>
      </c>
      <c r="E7" s="36" t="s">
        <v>402</v>
      </c>
    </row>
    <row r="8" spans="2:5" ht="34.5" customHeight="1">
      <c r="B8" s="36" t="s">
        <v>403</v>
      </c>
      <c r="C8" s="36" t="s">
        <v>404</v>
      </c>
      <c r="D8" s="36" t="s">
        <v>405</v>
      </c>
      <c r="E8" s="36" t="s">
        <v>406</v>
      </c>
    </row>
    <row r="9" spans="2:5" ht="34.5" customHeight="1">
      <c r="B9" s="36" t="s">
        <v>403</v>
      </c>
      <c r="C9" s="36" t="s">
        <v>407</v>
      </c>
      <c r="D9" s="36" t="s">
        <v>408</v>
      </c>
      <c r="E9" s="36" t="s">
        <v>409</v>
      </c>
    </row>
    <row r="10" spans="2:5" ht="34.5" customHeight="1">
      <c r="B10" s="36" t="s">
        <v>400</v>
      </c>
      <c r="C10" s="36" t="s">
        <v>410</v>
      </c>
      <c r="D10" s="36" t="s">
        <v>411</v>
      </c>
      <c r="E10" s="36" t="s">
        <v>412</v>
      </c>
    </row>
    <row r="11" spans="2:5" ht="34.5" customHeight="1">
      <c r="B11" s="36" t="s">
        <v>400</v>
      </c>
      <c r="C11" s="36" t="s">
        <v>413</v>
      </c>
      <c r="D11" s="36" t="s">
        <v>413</v>
      </c>
      <c r="E11" s="36" t="s">
        <v>414</v>
      </c>
    </row>
    <row r="12" spans="2:5" ht="34.5" customHeight="1">
      <c r="B12" s="36" t="s">
        <v>403</v>
      </c>
      <c r="C12" s="36" t="s">
        <v>415</v>
      </c>
      <c r="D12" s="36" t="s">
        <v>416</v>
      </c>
      <c r="E12" s="36" t="s">
        <v>417</v>
      </c>
    </row>
    <row r="13" spans="2:5" ht="34.5" customHeight="1">
      <c r="B13" s="36" t="s">
        <v>403</v>
      </c>
      <c r="C13" s="36" t="s">
        <v>418</v>
      </c>
      <c r="D13" s="36" t="s">
        <v>419</v>
      </c>
      <c r="E13" s="36" t="s">
        <v>420</v>
      </c>
    </row>
    <row r="14" spans="2:5" ht="34.5" customHeight="1">
      <c r="B14" s="36" t="s">
        <v>403</v>
      </c>
      <c r="C14" s="36" t="s">
        <v>421</v>
      </c>
      <c r="D14" s="36" t="s">
        <v>422</v>
      </c>
      <c r="E14" s="36" t="s">
        <v>423</v>
      </c>
    </row>
    <row r="15" spans="2:5" ht="34.5" customHeight="1">
      <c r="B15" s="36" t="s">
        <v>424</v>
      </c>
      <c r="C15" s="36" t="s">
        <v>425</v>
      </c>
      <c r="D15" s="36" t="s">
        <v>426</v>
      </c>
      <c r="E15" s="36" t="s">
        <v>427</v>
      </c>
    </row>
    <row r="16" spans="2:5" ht="34.5" customHeight="1">
      <c r="B16" s="36" t="s">
        <v>424</v>
      </c>
      <c r="C16" s="36" t="s">
        <v>428</v>
      </c>
      <c r="D16" s="36" t="s">
        <v>429</v>
      </c>
      <c r="E16" s="36" t="s">
        <v>430</v>
      </c>
    </row>
    <row r="17" spans="2:5" ht="34.5" customHeight="1">
      <c r="B17" s="36" t="s">
        <v>400</v>
      </c>
      <c r="C17" s="36" t="s">
        <v>431</v>
      </c>
      <c r="D17" s="36" t="s">
        <v>432</v>
      </c>
      <c r="E17" s="36" t="s">
        <v>433</v>
      </c>
    </row>
    <row r="18" spans="2:5" ht="34.5" customHeight="1">
      <c r="B18" s="36" t="s">
        <v>434</v>
      </c>
      <c r="C18" s="36" t="s">
        <v>435</v>
      </c>
      <c r="D18" s="36" t="s">
        <v>436</v>
      </c>
      <c r="E18" s="36" t="s">
        <v>437</v>
      </c>
    </row>
    <row r="19" spans="2:5" ht="34.5" customHeight="1">
      <c r="B19" s="36" t="s">
        <v>424</v>
      </c>
      <c r="C19" s="36" t="s">
        <v>438</v>
      </c>
      <c r="D19" s="36" t="s">
        <v>439</v>
      </c>
      <c r="E19" s="36" t="s">
        <v>440</v>
      </c>
    </row>
    <row r="20" spans="2:5" ht="34.5" customHeight="1">
      <c r="B20" s="36" t="s">
        <v>403</v>
      </c>
      <c r="C20" s="36" t="s">
        <v>441</v>
      </c>
      <c r="D20" s="36" t="s">
        <v>442</v>
      </c>
      <c r="E20" s="36" t="s">
        <v>443</v>
      </c>
    </row>
    <row r="21" spans="2:5" ht="34.5" customHeight="1">
      <c r="B21" s="36" t="s">
        <v>444</v>
      </c>
      <c r="C21" s="36" t="s">
        <v>445</v>
      </c>
      <c r="D21" s="36" t="s">
        <v>446</v>
      </c>
      <c r="E21" s="36" t="s">
        <v>447</v>
      </c>
    </row>
    <row r="22" spans="2:5" ht="34.5" customHeight="1">
      <c r="B22" s="36" t="s">
        <v>403</v>
      </c>
      <c r="C22" s="36" t="s">
        <v>448</v>
      </c>
      <c r="D22" s="36" t="s">
        <v>449</v>
      </c>
      <c r="E22" s="36" t="s">
        <v>450</v>
      </c>
    </row>
    <row r="23" spans="2:5" ht="34.5" customHeight="1">
      <c r="B23" s="36" t="s">
        <v>403</v>
      </c>
      <c r="C23" s="36" t="s">
        <v>451</v>
      </c>
      <c r="D23" s="36" t="s">
        <v>452</v>
      </c>
      <c r="E23" s="36" t="s">
        <v>453</v>
      </c>
    </row>
    <row r="24" spans="2:5" ht="34.5" customHeight="1">
      <c r="B24" s="36" t="s">
        <v>400</v>
      </c>
      <c r="C24" s="36" t="s">
        <v>454</v>
      </c>
      <c r="D24" s="36" t="s">
        <v>454</v>
      </c>
      <c r="E24" s="36" t="s">
        <v>455</v>
      </c>
    </row>
    <row r="25" spans="2:5" ht="34.5" customHeight="1">
      <c r="B25" s="36" t="s">
        <v>400</v>
      </c>
      <c r="C25" s="36" t="s">
        <v>456</v>
      </c>
      <c r="D25" s="36" t="s">
        <v>457</v>
      </c>
      <c r="E25" s="36" t="s">
        <v>458</v>
      </c>
    </row>
    <row r="26" spans="2:5" ht="34.5" customHeight="1">
      <c r="B26" s="36" t="s">
        <v>434</v>
      </c>
      <c r="C26" s="36" t="s">
        <v>459</v>
      </c>
      <c r="D26" s="36" t="s">
        <v>460</v>
      </c>
      <c r="E26" s="36" t="s">
        <v>461</v>
      </c>
    </row>
    <row r="27" spans="2:5" ht="34.5" customHeight="1">
      <c r="B27" s="36" t="s">
        <v>400</v>
      </c>
      <c r="C27" s="36" t="s">
        <v>462</v>
      </c>
      <c r="D27" s="36" t="s">
        <v>462</v>
      </c>
      <c r="E27" s="36" t="s">
        <v>463</v>
      </c>
    </row>
    <row r="28" spans="2:5" ht="34.5" customHeight="1">
      <c r="B28" s="36" t="s">
        <v>444</v>
      </c>
      <c r="C28" s="36" t="s">
        <v>464</v>
      </c>
      <c r="D28" s="36" t="s">
        <v>464</v>
      </c>
      <c r="E28" s="36" t="s">
        <v>465</v>
      </c>
    </row>
    <row r="29" spans="2:5" ht="34.5" customHeight="1">
      <c r="B29" s="36" t="s">
        <v>466</v>
      </c>
      <c r="C29" s="36" t="s">
        <v>467</v>
      </c>
      <c r="D29" s="36" t="s">
        <v>468</v>
      </c>
      <c r="E29" s="36" t="s">
        <v>469</v>
      </c>
    </row>
    <row r="30" spans="2:5" ht="34.5" customHeight="1">
      <c r="B30" s="36" t="s">
        <v>466</v>
      </c>
      <c r="C30" s="36" t="s">
        <v>470</v>
      </c>
      <c r="D30" s="36" t="s">
        <v>471</v>
      </c>
      <c r="E30" s="36" t="s">
        <v>472</v>
      </c>
    </row>
    <row r="31" spans="2:5" ht="34.5" customHeight="1">
      <c r="B31" s="36" t="s">
        <v>400</v>
      </c>
      <c r="C31" s="36" t="s">
        <v>473</v>
      </c>
      <c r="D31" s="36" t="s">
        <v>473</v>
      </c>
      <c r="E31" s="36" t="s">
        <v>474</v>
      </c>
    </row>
    <row r="32" spans="2:5" ht="34.5" customHeight="1">
      <c r="B32" s="36" t="s">
        <v>475</v>
      </c>
      <c r="C32" s="36" t="s">
        <v>476</v>
      </c>
      <c r="D32" s="36" t="s">
        <v>477</v>
      </c>
      <c r="E32" s="36" t="s">
        <v>478</v>
      </c>
    </row>
    <row r="33" spans="2:5" ht="34.5" customHeight="1">
      <c r="B33" s="36" t="s">
        <v>475</v>
      </c>
      <c r="C33" s="36" t="s">
        <v>479</v>
      </c>
      <c r="D33" s="36" t="s">
        <v>480</v>
      </c>
      <c r="E33" s="36" t="s">
        <v>481</v>
      </c>
    </row>
    <row r="34" spans="2:5" ht="34.5" customHeight="1">
      <c r="B34" s="36" t="s">
        <v>482</v>
      </c>
      <c r="C34" s="36" t="s">
        <v>483</v>
      </c>
      <c r="D34" s="36" t="s">
        <v>484</v>
      </c>
      <c r="E34" s="36" t="s">
        <v>485</v>
      </c>
    </row>
    <row r="35" spans="2:5" ht="34.5" customHeight="1">
      <c r="B35" s="36" t="s">
        <v>475</v>
      </c>
      <c r="C35" s="36" t="s">
        <v>486</v>
      </c>
      <c r="D35" s="36" t="s">
        <v>486</v>
      </c>
      <c r="E35" s="36" t="s">
        <v>487</v>
      </c>
    </row>
    <row r="36" spans="2:5" ht="34.5" customHeight="1">
      <c r="B36" s="36" t="s">
        <v>475</v>
      </c>
      <c r="C36" s="36" t="s">
        <v>488</v>
      </c>
      <c r="D36" s="36" t="s">
        <v>489</v>
      </c>
      <c r="E36" s="36" t="s">
        <v>490</v>
      </c>
    </row>
    <row r="37" spans="2:5" ht="34.5" customHeight="1">
      <c r="B37" s="36" t="s">
        <v>466</v>
      </c>
      <c r="C37" s="36" t="s">
        <v>491</v>
      </c>
      <c r="D37" s="36" t="s">
        <v>492</v>
      </c>
      <c r="E37" s="36" t="s">
        <v>493</v>
      </c>
    </row>
    <row r="38" spans="2:5" ht="34.5" customHeight="1">
      <c r="B38" s="36" t="s">
        <v>482</v>
      </c>
      <c r="C38" s="36" t="s">
        <v>494</v>
      </c>
      <c r="D38" s="36" t="s">
        <v>495</v>
      </c>
      <c r="E38" s="36" t="s">
        <v>496</v>
      </c>
    </row>
    <row r="39" spans="2:5" ht="34.5" customHeight="1">
      <c r="B39" s="36" t="s">
        <v>424</v>
      </c>
      <c r="C39" s="36" t="s">
        <v>497</v>
      </c>
      <c r="D39" s="36" t="s">
        <v>498</v>
      </c>
      <c r="E39" s="36" t="s">
        <v>499</v>
      </c>
    </row>
    <row r="40" spans="2:5" ht="34.5" customHeight="1">
      <c r="B40" s="36" t="s">
        <v>424</v>
      </c>
      <c r="C40" s="36" t="s">
        <v>500</v>
      </c>
      <c r="D40" s="36" t="s">
        <v>501</v>
      </c>
      <c r="E40" s="36" t="s">
        <v>502</v>
      </c>
    </row>
    <row r="41" spans="2:5" ht="34.5" customHeight="1">
      <c r="B41" s="36" t="s">
        <v>424</v>
      </c>
      <c r="C41" s="36" t="s">
        <v>503</v>
      </c>
      <c r="D41" s="36" t="s">
        <v>337</v>
      </c>
      <c r="E41" s="36" t="s">
        <v>504</v>
      </c>
    </row>
    <row r="42" spans="2:5" ht="34.5" customHeight="1">
      <c r="B42" s="36" t="s">
        <v>400</v>
      </c>
      <c r="C42" s="36" t="s">
        <v>505</v>
      </c>
      <c r="D42" s="36" t="s">
        <v>506</v>
      </c>
      <c r="E42" s="36" t="s">
        <v>507</v>
      </c>
    </row>
    <row r="43" spans="2:5" ht="34.5" customHeight="1">
      <c r="B43" s="36" t="s">
        <v>424</v>
      </c>
      <c r="C43" s="36" t="s">
        <v>508</v>
      </c>
      <c r="D43" s="36" t="s">
        <v>509</v>
      </c>
      <c r="E43" s="36" t="s">
        <v>510</v>
      </c>
    </row>
    <row r="44" spans="2:5" ht="34.5" customHeight="1">
      <c r="B44" s="36" t="s">
        <v>475</v>
      </c>
      <c r="C44" s="36" t="s">
        <v>511</v>
      </c>
      <c r="D44" s="36" t="s">
        <v>512</v>
      </c>
      <c r="E44" s="36" t="s">
        <v>513</v>
      </c>
    </row>
    <row r="45" spans="2:5" ht="34.5" customHeight="1">
      <c r="B45" s="36" t="s">
        <v>514</v>
      </c>
      <c r="C45" s="36" t="s">
        <v>515</v>
      </c>
      <c r="D45" s="36" t="s">
        <v>516</v>
      </c>
      <c r="E45" s="36" t="s">
        <v>517</v>
      </c>
    </row>
    <row r="46" spans="2:5" ht="34.5" customHeight="1">
      <c r="B46" s="36" t="s">
        <v>400</v>
      </c>
      <c r="C46" s="36" t="s">
        <v>518</v>
      </c>
      <c r="D46" s="36" t="s">
        <v>519</v>
      </c>
      <c r="E46" s="36" t="s">
        <v>520</v>
      </c>
    </row>
    <row r="47" spans="2:5" ht="34.5" customHeight="1">
      <c r="B47" s="36" t="s">
        <v>394</v>
      </c>
      <c r="C47" s="36" t="s">
        <v>521</v>
      </c>
      <c r="D47" s="36" t="s">
        <v>522</v>
      </c>
      <c r="E47" s="36" t="s">
        <v>523</v>
      </c>
    </row>
    <row r="48" spans="2:5" ht="34.5" customHeight="1">
      <c r="B48" s="36" t="s">
        <v>394</v>
      </c>
      <c r="C48" s="36" t="s">
        <v>524</v>
      </c>
      <c r="D48" s="36" t="s">
        <v>525</v>
      </c>
      <c r="E48" s="36" t="s">
        <v>526</v>
      </c>
    </row>
    <row r="49" spans="2:5" ht="34.5" customHeight="1">
      <c r="B49" s="36" t="s">
        <v>514</v>
      </c>
      <c r="C49" s="36" t="s">
        <v>527</v>
      </c>
      <c r="D49" s="36" t="s">
        <v>528</v>
      </c>
      <c r="E49" s="36" t="s">
        <v>529</v>
      </c>
    </row>
    <row r="50" spans="2:5" ht="34.5" customHeight="1">
      <c r="B50" s="36" t="s">
        <v>514</v>
      </c>
      <c r="C50" s="36" t="s">
        <v>530</v>
      </c>
      <c r="D50" s="36" t="s">
        <v>531</v>
      </c>
      <c r="E50" s="36" t="s">
        <v>532</v>
      </c>
    </row>
    <row r="51" spans="2:5" ht="34.5" customHeight="1">
      <c r="B51" s="36" t="s">
        <v>514</v>
      </c>
      <c r="C51" s="36" t="s">
        <v>533</v>
      </c>
      <c r="D51" s="36" t="s">
        <v>534</v>
      </c>
      <c r="E51" s="36" t="s">
        <v>535</v>
      </c>
    </row>
    <row r="52" spans="2:5" ht="34.5" customHeight="1">
      <c r="B52" s="36" t="s">
        <v>514</v>
      </c>
      <c r="C52" s="36" t="s">
        <v>536</v>
      </c>
      <c r="D52" s="36" t="s">
        <v>537</v>
      </c>
      <c r="E52" s="36" t="s">
        <v>538</v>
      </c>
    </row>
    <row r="53" spans="2:5" ht="34.5" customHeight="1">
      <c r="B53" s="36" t="s">
        <v>424</v>
      </c>
      <c r="C53" s="36" t="s">
        <v>539</v>
      </c>
      <c r="D53" s="36" t="s">
        <v>540</v>
      </c>
      <c r="E53" s="36" t="s">
        <v>541</v>
      </c>
    </row>
    <row r="54" spans="2:5" ht="34.5" customHeight="1">
      <c r="B54" s="36" t="s">
        <v>434</v>
      </c>
      <c r="C54" s="36" t="s">
        <v>542</v>
      </c>
      <c r="D54" s="36" t="s">
        <v>543</v>
      </c>
      <c r="E54" s="36" t="s">
        <v>544</v>
      </c>
    </row>
    <row r="55" spans="2:5" ht="34.5" customHeight="1">
      <c r="B55" s="36" t="s">
        <v>444</v>
      </c>
      <c r="C55" s="36" t="s">
        <v>151</v>
      </c>
      <c r="D55" s="36" t="s">
        <v>545</v>
      </c>
      <c r="E55" s="36" t="s">
        <v>546</v>
      </c>
    </row>
    <row r="56" spans="2:5" ht="34.5" customHeight="1">
      <c r="B56" s="36" t="s">
        <v>444</v>
      </c>
      <c r="C56" s="36" t="s">
        <v>115</v>
      </c>
      <c r="D56" s="36" t="s">
        <v>288</v>
      </c>
      <c r="E56" s="36" t="s">
        <v>547</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DDA3C-8A49-478A-8910-C41942D0421D}">
  <sheetPr>
    <tabColor rgb="FFFF3300"/>
  </sheetPr>
  <dimension ref="B2:E16"/>
  <sheetViews>
    <sheetView workbookViewId="0">
      <selection activeCell="H22" sqref="H22"/>
    </sheetView>
  </sheetViews>
  <sheetFormatPr defaultRowHeight="15"/>
  <cols>
    <col min="2" max="5" width="32" customWidth="1"/>
  </cols>
  <sheetData>
    <row r="2" spans="2:5">
      <c r="B2" s="36" t="s">
        <v>163</v>
      </c>
      <c r="C2" s="36" t="s">
        <v>164</v>
      </c>
      <c r="D2" s="36" t="s">
        <v>165</v>
      </c>
      <c r="E2" s="36" t="s">
        <v>166</v>
      </c>
    </row>
    <row r="3" spans="2:5" ht="34.5" customHeight="1">
      <c r="B3" s="36" t="s">
        <v>548</v>
      </c>
      <c r="C3" s="36" t="s">
        <v>98</v>
      </c>
      <c r="D3" s="36" t="s">
        <v>549</v>
      </c>
      <c r="E3" s="36" t="s">
        <v>550</v>
      </c>
    </row>
    <row r="4" spans="2:5" ht="34.5" customHeight="1">
      <c r="B4" s="36" t="s">
        <v>548</v>
      </c>
      <c r="C4" s="36" t="s">
        <v>551</v>
      </c>
      <c r="D4" s="36" t="s">
        <v>552</v>
      </c>
      <c r="E4" s="36" t="s">
        <v>553</v>
      </c>
    </row>
    <row r="5" spans="2:5" ht="34.5" customHeight="1">
      <c r="B5" s="36" t="s">
        <v>548</v>
      </c>
      <c r="C5" s="36" t="s">
        <v>554</v>
      </c>
      <c r="D5" s="36" t="s">
        <v>555</v>
      </c>
      <c r="E5" s="36" t="s">
        <v>556</v>
      </c>
    </row>
    <row r="6" spans="2:5" ht="34.5" customHeight="1">
      <c r="B6" s="36" t="s">
        <v>548</v>
      </c>
      <c r="C6" s="36" t="s">
        <v>99</v>
      </c>
      <c r="D6" s="36" t="s">
        <v>557</v>
      </c>
      <c r="E6" s="36" t="s">
        <v>558</v>
      </c>
    </row>
    <row r="7" spans="2:5" ht="34.5" customHeight="1">
      <c r="B7" s="36" t="s">
        <v>548</v>
      </c>
      <c r="C7" s="36" t="s">
        <v>559</v>
      </c>
      <c r="D7" s="36" t="s">
        <v>560</v>
      </c>
      <c r="E7" s="36" t="s">
        <v>561</v>
      </c>
    </row>
    <row r="8" spans="2:5" ht="34.5" customHeight="1">
      <c r="B8" s="36" t="s">
        <v>548</v>
      </c>
      <c r="C8" s="36" t="s">
        <v>562</v>
      </c>
      <c r="D8" s="36" t="s">
        <v>563</v>
      </c>
      <c r="E8" s="36" t="s">
        <v>564</v>
      </c>
    </row>
    <row r="9" spans="2:5" ht="34.5" customHeight="1">
      <c r="B9" s="36" t="s">
        <v>548</v>
      </c>
      <c r="C9" s="36" t="s">
        <v>565</v>
      </c>
      <c r="D9" s="36" t="s">
        <v>566</v>
      </c>
      <c r="E9" s="36" t="s">
        <v>567</v>
      </c>
    </row>
    <row r="10" spans="2:5" ht="34.5" customHeight="1">
      <c r="B10" s="36" t="s">
        <v>548</v>
      </c>
      <c r="C10" s="36" t="s">
        <v>568</v>
      </c>
      <c r="D10" s="36" t="s">
        <v>569</v>
      </c>
      <c r="E10" s="36" t="s">
        <v>570</v>
      </c>
    </row>
    <row r="11" spans="2:5" ht="34.5" customHeight="1">
      <c r="B11" s="36" t="s">
        <v>548</v>
      </c>
      <c r="C11" s="36" t="s">
        <v>571</v>
      </c>
      <c r="D11" s="36" t="s">
        <v>572</v>
      </c>
      <c r="E11" s="36" t="s">
        <v>573</v>
      </c>
    </row>
    <row r="12" spans="2:5" ht="34.5" customHeight="1">
      <c r="B12" s="36" t="s">
        <v>548</v>
      </c>
      <c r="C12" s="36" t="s">
        <v>361</v>
      </c>
      <c r="D12" s="36" t="s">
        <v>574</v>
      </c>
      <c r="E12" s="36" t="s">
        <v>575</v>
      </c>
    </row>
    <row r="13" spans="2:5" ht="34.5" customHeight="1">
      <c r="B13" s="36" t="s">
        <v>548</v>
      </c>
      <c r="C13" s="36" t="s">
        <v>576</v>
      </c>
      <c r="D13" s="36" t="s">
        <v>577</v>
      </c>
      <c r="E13" s="36" t="s">
        <v>578</v>
      </c>
    </row>
    <row r="14" spans="2:5" ht="34.5" customHeight="1">
      <c r="B14" s="36" t="s">
        <v>548</v>
      </c>
      <c r="C14" s="36" t="s">
        <v>579</v>
      </c>
      <c r="D14" s="36" t="s">
        <v>580</v>
      </c>
      <c r="E14" s="36" t="s">
        <v>581</v>
      </c>
    </row>
    <row r="15" spans="2:5" ht="34.5" customHeight="1">
      <c r="B15" s="36" t="s">
        <v>548</v>
      </c>
      <c r="C15" s="36" t="s">
        <v>582</v>
      </c>
      <c r="D15" s="36" t="s">
        <v>583</v>
      </c>
      <c r="E15" s="36" t="s">
        <v>584</v>
      </c>
    </row>
    <row r="16" spans="2:5" ht="34.5" customHeight="1">
      <c r="B16" s="36" t="s">
        <v>548</v>
      </c>
      <c r="C16" s="36" t="s">
        <v>115</v>
      </c>
      <c r="D16" s="36" t="s">
        <v>585</v>
      </c>
      <c r="E16" s="36" t="s">
        <v>586</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0AFF-735C-4134-980B-11ECF4185037}">
  <sheetPr>
    <tabColor rgb="FFFF3300"/>
  </sheetPr>
  <dimension ref="B2:E11"/>
  <sheetViews>
    <sheetView topLeftCell="A3" workbookViewId="0">
      <selection activeCell="F3" sqref="F3"/>
    </sheetView>
  </sheetViews>
  <sheetFormatPr defaultRowHeight="15"/>
  <cols>
    <col min="2" max="5" width="26.85546875" customWidth="1"/>
  </cols>
  <sheetData>
    <row r="2" spans="2:5" ht="45.75">
      <c r="B2" s="36" t="s">
        <v>163</v>
      </c>
      <c r="C2" s="36" t="s">
        <v>164</v>
      </c>
      <c r="D2" s="36" t="s">
        <v>165</v>
      </c>
      <c r="E2" s="36" t="s">
        <v>166</v>
      </c>
    </row>
    <row r="3" spans="2:5" ht="48.75" customHeight="1">
      <c r="B3" s="36" t="s">
        <v>587</v>
      </c>
      <c r="C3" s="36" t="s">
        <v>588</v>
      </c>
      <c r="D3" s="36" t="s">
        <v>589</v>
      </c>
      <c r="E3" s="36" t="s">
        <v>590</v>
      </c>
    </row>
    <row r="4" spans="2:5" ht="48.75" customHeight="1">
      <c r="B4" s="36" t="s">
        <v>587</v>
      </c>
      <c r="C4" s="36" t="s">
        <v>202</v>
      </c>
      <c r="D4" s="36" t="s">
        <v>591</v>
      </c>
      <c r="E4" s="36" t="s">
        <v>592</v>
      </c>
    </row>
    <row r="5" spans="2:5" ht="48.75" customHeight="1">
      <c r="B5" s="36" t="s">
        <v>587</v>
      </c>
      <c r="C5" s="36" t="s">
        <v>593</v>
      </c>
      <c r="D5" s="36" t="s">
        <v>297</v>
      </c>
      <c r="E5" s="36" t="s">
        <v>594</v>
      </c>
    </row>
    <row r="6" spans="2:5" ht="48.75" customHeight="1">
      <c r="B6" s="36" t="s">
        <v>587</v>
      </c>
      <c r="C6" s="36" t="s">
        <v>595</v>
      </c>
      <c r="D6" s="36" t="s">
        <v>596</v>
      </c>
      <c r="E6" s="36" t="s">
        <v>597</v>
      </c>
    </row>
    <row r="7" spans="2:5" ht="48.75" customHeight="1">
      <c r="B7" s="36" t="s">
        <v>587</v>
      </c>
      <c r="C7" s="36" t="s">
        <v>598</v>
      </c>
      <c r="D7" s="36" t="s">
        <v>599</v>
      </c>
      <c r="E7" s="36" t="s">
        <v>600</v>
      </c>
    </row>
    <row r="8" spans="2:5" ht="48.75" customHeight="1">
      <c r="B8" s="36" t="s">
        <v>587</v>
      </c>
      <c r="C8" s="36" t="s">
        <v>601</v>
      </c>
      <c r="D8" s="36" t="s">
        <v>602</v>
      </c>
      <c r="E8" s="36" t="s">
        <v>603</v>
      </c>
    </row>
    <row r="9" spans="2:5" ht="48.75" customHeight="1">
      <c r="B9" s="36" t="s">
        <v>587</v>
      </c>
      <c r="C9" s="36" t="s">
        <v>604</v>
      </c>
      <c r="D9" s="36" t="s">
        <v>605</v>
      </c>
      <c r="E9" s="36" t="s">
        <v>606</v>
      </c>
    </row>
    <row r="10" spans="2:5" ht="48.75" customHeight="1">
      <c r="B10" s="36" t="s">
        <v>587</v>
      </c>
      <c r="C10" s="36" t="s">
        <v>607</v>
      </c>
      <c r="D10" s="36" t="s">
        <v>608</v>
      </c>
      <c r="E10" s="36" t="s">
        <v>609</v>
      </c>
    </row>
    <row r="11" spans="2:5" ht="48.75" customHeight="1">
      <c r="B11" s="36" t="s">
        <v>587</v>
      </c>
      <c r="C11" s="36" t="s">
        <v>115</v>
      </c>
      <c r="D11" s="36" t="s">
        <v>610</v>
      </c>
      <c r="E11" s="36" t="s">
        <v>611</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f2c8b19-3720-49e0-a3d6-ab24610ea637">
      <Terms xmlns="http://schemas.microsoft.com/office/infopath/2007/PartnerControls"/>
    </lcf76f155ced4ddcb4097134ff3c332f>
    <TaxCatchAll xmlns="6aefa7c4-72cc-43c9-93a4-026686d54ef8" xsi:nil="true"/>
  </documentManagement>
</p:properties>
</file>

<file path=customXml/item2.xml><?xml version="1.0" encoding="utf-8"?>
<scriptIds xmlns="http://schemas.microsoft.com/office/extensibility/maker/v1.0" id="script-ids-node-id">
  <scriptId xmlns="" id="ms-officescript%3A%2F%2Fonedrive_business_itemlink%2F01HBO3KWY2P4E7NUOFXVEKKTYQPPJ7HAOH:ms-officescript%3A%2F%2Fonedrive_business_sharinglink%2Fu!aHR0cHM6Ly9ldHJheHhkdWVzc2VsZG9yZi1teS5zaGFyZXBvaW50LmNvbS86dTovZy9wZXJzb25hbC9kcmV4bGVyX2UtdHJheHhfZXUvSVFBYWZ3bjIwY1c5U0tWUEVIdlQ4NEhIQVgwQTBGRlc0bWJGQi1xMm44aW01Q0U"/>
  <scriptId xmlns="" id="ms-officescript%3A%2F%2Fonedrive_business_itemlink%2F01HBO3KW64A2DU2PN3Y5AYAYKLEFVBOQRL:ms-officescript%3A%2F%2Fonedrive_business_sharinglink%2Fu!aHR0cHM6Ly9ldHJheHhkdWVzc2VsZG9yZi1teS5zaGFyZXBvaW50LmNvbS86dTovZy9wZXJzb25hbC9kcmV4bGVyX2UtdHJheHhfZXUvSVFEY0JvZE5QYnZIUVlCaFN5RnFGMElyQVotWDhKd3dBanFQTlBMVnB2bmJsZkU"/>
</scriptId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kument" ma:contentTypeID="0x01010064B4E5CD2113C7469A46209228D5717D" ma:contentTypeVersion="16" ma:contentTypeDescription="Ein neues Dokument erstellen." ma:contentTypeScope="" ma:versionID="31222e0cc4383f6b23b4bc114f0d8395">
  <xsd:schema xmlns:xsd="http://www.w3.org/2001/XMLSchema" xmlns:xs="http://www.w3.org/2001/XMLSchema" xmlns:p="http://schemas.microsoft.com/office/2006/metadata/properties" xmlns:ns2="cf2c8b19-3720-49e0-a3d6-ab24610ea637" xmlns:ns3="6aefa7c4-72cc-43c9-93a4-026686d54ef8" targetNamespace="http://schemas.microsoft.com/office/2006/metadata/properties" ma:root="true" ma:fieldsID="6109aee9e79532a766913f18341267fa" ns2:_="" ns3:_="">
    <xsd:import namespace="cf2c8b19-3720-49e0-a3d6-ab24610ea637"/>
    <xsd:import namespace="6aefa7c4-72cc-43c9-93a4-026686d54ef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2c8b19-3720-49e0-a3d6-ab24610ea6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Bildmarkierungen" ma:readOnly="false" ma:fieldId="{5cf76f15-5ced-4ddc-b409-7134ff3c332f}" ma:taxonomyMulti="true" ma:sspId="6bd5f0dc-2440-47e2-9797-e06c4e289e8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efa7c4-72cc-43c9-93a4-026686d54ef8" elementFormDefault="qualified">
    <xsd:import namespace="http://schemas.microsoft.com/office/2006/documentManagement/types"/>
    <xsd:import namespace="http://schemas.microsoft.com/office/infopath/2007/PartnerControls"/>
    <xsd:element name="SharedWithUsers" ma:index="15"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Freigegeben für - Details" ma:internalName="SharedWithDetails" ma:readOnly="true">
      <xsd:simpleType>
        <xsd:restriction base="dms:Note">
          <xsd:maxLength value="255"/>
        </xsd:restriction>
      </xsd:simpleType>
    </xsd:element>
    <xsd:element name="TaxCatchAll" ma:index="19" nillable="true" ma:displayName="Taxonomy Catch All Column" ma:hidden="true" ma:list="{ff1a968b-5f64-4b65-a428-8640baa5e8bb}" ma:internalName="TaxCatchAll" ma:showField="CatchAllData" ma:web="6aefa7c4-72cc-43c9-93a4-026686d54e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7AACE41-8697-4917-BAE7-FEDB0F6A2DA6}"/>
</file>

<file path=customXml/itemProps2.xml><?xml version="1.0" encoding="utf-8"?>
<ds:datastoreItem xmlns:ds="http://schemas.openxmlformats.org/officeDocument/2006/customXml" ds:itemID="{9D585B56-EB5A-4D22-96A4-9FBFEE1C58C6}"/>
</file>

<file path=customXml/itemProps3.xml><?xml version="1.0" encoding="utf-8"?>
<ds:datastoreItem xmlns:ds="http://schemas.openxmlformats.org/officeDocument/2006/customXml" ds:itemID="{1F1D7910-FF4C-4F58-BD37-F6886F251E16}"/>
</file>

<file path=customXml/itemProps4.xml><?xml version="1.0" encoding="utf-8"?>
<ds:datastoreItem xmlns:ds="http://schemas.openxmlformats.org/officeDocument/2006/customXml" ds:itemID="{E3C387D5-4AC2-4951-B214-9E4BF7CE325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 d</dc:creator>
  <cp:keywords/>
  <dc:description/>
  <cp:lastModifiedBy>Finn Unverhau | E-Traxx Düsseldorf</cp:lastModifiedBy>
  <cp:revision/>
  <dcterms:created xsi:type="dcterms:W3CDTF">2026-03-09T13:56:44Z</dcterms:created>
  <dcterms:modified xsi:type="dcterms:W3CDTF">2026-04-12T21:58:03Z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0x01010064B4E5CD2113C7469A46209228D5717D</vt:lpwstr>
  </property>
  <property fmtid="{D5CDD505-2E9C-101B-9397-08002B2CF9AE}" pid="3" name="MediaServiceImageTags">
    <vt:lpwstr/>
  </property>
</Properties>
</file>